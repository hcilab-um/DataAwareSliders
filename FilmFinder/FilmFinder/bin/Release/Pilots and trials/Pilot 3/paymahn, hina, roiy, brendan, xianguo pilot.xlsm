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60" windowWidth="27795" windowHeight="1284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M44" i="1" l="1"/>
  <c r="M43" i="1"/>
  <c r="M42" i="1"/>
  <c r="L44" i="1"/>
  <c r="L43" i="1"/>
  <c r="L42" i="1"/>
  <c r="K44" i="1"/>
  <c r="K43" i="1"/>
  <c r="K42" i="1"/>
  <c r="J44" i="1"/>
  <c r="J43" i="1"/>
  <c r="J42" i="1"/>
  <c r="J36" i="1"/>
  <c r="K36" i="1"/>
  <c r="L36" i="1"/>
  <c r="M36" i="1"/>
  <c r="J37" i="1"/>
  <c r="K37" i="1"/>
  <c r="L37" i="1"/>
  <c r="M37" i="1"/>
  <c r="J38" i="1"/>
  <c r="K38" i="1"/>
  <c r="L38" i="1"/>
  <c r="M38" i="1"/>
  <c r="L30" i="1"/>
  <c r="L29" i="1"/>
  <c r="L28" i="1"/>
  <c r="L27" i="1"/>
  <c r="K30" i="1"/>
  <c r="K29" i="1"/>
  <c r="K28" i="1"/>
  <c r="K27" i="1"/>
  <c r="J30" i="1"/>
  <c r="J29" i="1"/>
  <c r="J28" i="1"/>
  <c r="J27" i="1"/>
  <c r="K23" i="1"/>
  <c r="L23" i="1"/>
  <c r="L22" i="1"/>
  <c r="L21" i="1"/>
  <c r="L20" i="1"/>
  <c r="K22" i="1"/>
  <c r="K21" i="1"/>
  <c r="K20" i="1"/>
  <c r="J20" i="1"/>
  <c r="J21" i="1"/>
  <c r="J22" i="1"/>
  <c r="J23" i="1"/>
  <c r="I2" i="1"/>
  <c r="J2" i="1"/>
  <c r="K2" i="1"/>
  <c r="L2" i="1"/>
  <c r="L3" i="1"/>
  <c r="K3" i="1"/>
  <c r="J3" i="1"/>
  <c r="I3" i="1"/>
</calcChain>
</file>

<file path=xl/sharedStrings.xml><?xml version="1.0" encoding="utf-8"?>
<sst xmlns="http://schemas.openxmlformats.org/spreadsheetml/2006/main" count="290" uniqueCount="13">
  <si>
    <t>Actor</t>
  </si>
  <si>
    <t>Actress</t>
  </si>
  <si>
    <t>Director</t>
  </si>
  <si>
    <t>alpha</t>
  </si>
  <si>
    <t>active</t>
  </si>
  <si>
    <t>list</t>
  </si>
  <si>
    <t>activemulti</t>
  </si>
  <si>
    <t>Average</t>
  </si>
  <si>
    <t>Stdev</t>
  </si>
  <si>
    <t>stdev</t>
  </si>
  <si>
    <t>Low</t>
  </si>
  <si>
    <t>Medium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</si>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</sst>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0" fontId="0" fillId="0" borderId="0" xfId="0" applyAlignment="1">
      <alignment horizontal="center"/>
    </xf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Sheet1!$I$3:$L$3</c:f>
                <c:numCache>
                  <c:formatCode>General</c:formatCode>
                  <c:ptCount val="4"/>
                  <c:pt idx="0">
                    <c:v>14318.516513842978</c:v>
                  </c:pt>
                  <c:pt idx="1">
                    <c:v>9337.186746469928</c:v>
                  </c:pt>
                  <c:pt idx="2">
                    <c:v>9297.715161328515</c:v>
                  </c:pt>
                  <c:pt idx="3">
                    <c:v>10545.577736750287</c:v>
                  </c:pt>
                </c:numCache>
              </c:numRef>
            </c:plus>
            <c:minus>
              <c:numRef>
                <c:f>Sheet1!$I$3:$L$3</c:f>
                <c:numCache>
                  <c:formatCode>General</c:formatCode>
                  <c:ptCount val="4"/>
                  <c:pt idx="0">
                    <c:v>14318.516513842978</c:v>
                  </c:pt>
                  <c:pt idx="1">
                    <c:v>9337.186746469928</c:v>
                  </c:pt>
                  <c:pt idx="2">
                    <c:v>9297.715161328515</c:v>
                  </c:pt>
                  <c:pt idx="3">
                    <c:v>10545.577736750287</c:v>
                  </c:pt>
                </c:numCache>
              </c:numRef>
            </c:minus>
          </c:errBars>
          <c:cat>
            <c:strRef>
              <c:f>Sheet1!$I$1:$L$1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Sheet1!$I$2:$L$2</c:f>
              <c:numCache>
                <c:formatCode>General</c:formatCode>
                <c:ptCount val="4"/>
                <c:pt idx="0">
                  <c:v>17255.507936507936</c:v>
                </c:pt>
                <c:pt idx="1">
                  <c:v>13283.984126984127</c:v>
                </c:pt>
                <c:pt idx="2">
                  <c:v>13943.809523809523</c:v>
                </c:pt>
                <c:pt idx="3">
                  <c:v>14202.476190476191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488512"/>
        <c:axId val="99490048"/>
      </c:barChart>
      <c:catAx>
        <c:axId val="99488512"/>
        <c:scaling>
          <c:orientation val="minMax"/>
        </c:scaling>
        <c:delete val="0"/>
        <c:axPos val="b"/>
        <c:majorTickMark val="out"/>
        <c:minorTickMark val="none"/>
        <c:tickLblPos val="nextTo"/>
        <c:crossAx val="99490048"/>
        <c:crosses val="autoZero"/>
        <c:auto val="1"/>
        <c:lblAlgn val="ctr"/>
        <c:lblOffset val="100"/>
        <c:noMultiLvlLbl val="0"/>
      </c:catAx>
      <c:valAx>
        <c:axId val="9949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488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Sheet1!$J$19</c:f>
              <c:strCache>
                <c:ptCount val="1"/>
                <c:pt idx="0">
                  <c:v>Actor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Sheet1!$J$27:$J$30</c:f>
                <c:numCache>
                  <c:formatCode>General</c:formatCode>
                  <c:ptCount val="4"/>
                  <c:pt idx="0">
                    <c:v>18949.403481125104</c:v>
                  </c:pt>
                  <c:pt idx="1">
                    <c:v>10321.203197671241</c:v>
                  </c:pt>
                  <c:pt idx="2">
                    <c:v>11588.415952600086</c:v>
                  </c:pt>
                  <c:pt idx="3">
                    <c:v>13130.127788701033</c:v>
                  </c:pt>
                </c:numCache>
              </c:numRef>
            </c:plus>
            <c:minus>
              <c:numRef>
                <c:f>Sheet1!$J$27:$J$30</c:f>
                <c:numCache>
                  <c:formatCode>General</c:formatCode>
                  <c:ptCount val="4"/>
                  <c:pt idx="0">
                    <c:v>18949.403481125104</c:v>
                  </c:pt>
                  <c:pt idx="1">
                    <c:v>10321.203197671241</c:v>
                  </c:pt>
                  <c:pt idx="2">
                    <c:v>11588.415952600086</c:v>
                  </c:pt>
                  <c:pt idx="3">
                    <c:v>13130.127788701033</c:v>
                  </c:pt>
                </c:numCache>
              </c:numRef>
            </c:minus>
          </c:errBars>
          <c:cat>
            <c:strRef>
              <c:f>Sheet1!$I$20:$I$23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Sheet1!$J$20:$J$23</c:f>
              <c:numCache>
                <c:formatCode>General</c:formatCode>
                <c:ptCount val="4"/>
                <c:pt idx="0">
                  <c:v>24347.904761904763</c:v>
                </c:pt>
                <c:pt idx="1">
                  <c:v>17010.380952380954</c:v>
                </c:pt>
                <c:pt idx="2">
                  <c:v>20151.238095238095</c:v>
                </c:pt>
                <c:pt idx="3">
                  <c:v>20197.952380952382</c:v>
                </c:pt>
              </c:numCache>
            </c:numRef>
          </c:val>
        </c:ser>
        <c:ser>
          <c:idx val="1"/>
          <c:order val="1"/>
          <c:tx>
            <c:strRef>
              <c:f>Sheet1!$K$19</c:f>
              <c:strCache>
                <c:ptCount val="1"/>
                <c:pt idx="0">
                  <c:v>Actress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Sheet1!$K$27:$K$30</c:f>
                <c:numCache>
                  <c:formatCode>General</c:formatCode>
                  <c:ptCount val="4"/>
                  <c:pt idx="0">
                    <c:v>11856.302386936501</c:v>
                  </c:pt>
                  <c:pt idx="1">
                    <c:v>9365.1620442086169</c:v>
                  </c:pt>
                  <c:pt idx="2">
                    <c:v>6803.6264048772446</c:v>
                  </c:pt>
                  <c:pt idx="3">
                    <c:v>8238.7221307444925</c:v>
                  </c:pt>
                </c:numCache>
              </c:numRef>
            </c:plus>
            <c:minus>
              <c:numRef>
                <c:f>Sheet1!$K$27:$K$30</c:f>
                <c:numCache>
                  <c:formatCode>General</c:formatCode>
                  <c:ptCount val="4"/>
                  <c:pt idx="0">
                    <c:v>11856.302386936501</c:v>
                  </c:pt>
                  <c:pt idx="1">
                    <c:v>9365.1620442086169</c:v>
                  </c:pt>
                  <c:pt idx="2">
                    <c:v>6803.6264048772446</c:v>
                  </c:pt>
                  <c:pt idx="3">
                    <c:v>8238.7221307444925</c:v>
                  </c:pt>
                </c:numCache>
              </c:numRef>
            </c:minus>
          </c:errBars>
          <c:cat>
            <c:strRef>
              <c:f>Sheet1!$I$20:$I$23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Sheet1!$K$20:$K$23</c:f>
              <c:numCache>
                <c:formatCode>General</c:formatCode>
                <c:ptCount val="4"/>
                <c:pt idx="0">
                  <c:v>16471.761904761905</c:v>
                </c:pt>
                <c:pt idx="1">
                  <c:v>13824.285714285714</c:v>
                </c:pt>
                <c:pt idx="2">
                  <c:v>13291.428571428571</c:v>
                </c:pt>
                <c:pt idx="3">
                  <c:v>12588.380952380952</c:v>
                </c:pt>
              </c:numCache>
            </c:numRef>
          </c:val>
        </c:ser>
        <c:ser>
          <c:idx val="2"/>
          <c:order val="2"/>
          <c:tx>
            <c:strRef>
              <c:f>Sheet1!$L$19</c:f>
              <c:strCache>
                <c:ptCount val="1"/>
                <c:pt idx="0">
                  <c:v>Director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Sheet1!$L$27:$L$30</c:f>
                <c:numCache>
                  <c:formatCode>General</c:formatCode>
                  <c:ptCount val="4"/>
                  <c:pt idx="0">
                    <c:v>6376.4207615692549</c:v>
                  </c:pt>
                  <c:pt idx="1">
                    <c:v>6483.2222632180146</c:v>
                  </c:pt>
                  <c:pt idx="2">
                    <c:v>3754.9187994517524</c:v>
                  </c:pt>
                  <c:pt idx="3">
                    <c:v>6620.9393737200307</c:v>
                  </c:pt>
                </c:numCache>
              </c:numRef>
            </c:plus>
            <c:minus>
              <c:numRef>
                <c:f>Sheet1!$L$27:$L$30</c:f>
                <c:numCache>
                  <c:formatCode>General</c:formatCode>
                  <c:ptCount val="4"/>
                  <c:pt idx="0">
                    <c:v>6376.4207615692549</c:v>
                  </c:pt>
                  <c:pt idx="1">
                    <c:v>6483.2222632180146</c:v>
                  </c:pt>
                  <c:pt idx="2">
                    <c:v>3754.9187994517524</c:v>
                  </c:pt>
                  <c:pt idx="3">
                    <c:v>6620.9393737200307</c:v>
                  </c:pt>
                </c:numCache>
              </c:numRef>
            </c:minus>
          </c:errBars>
          <c:cat>
            <c:strRef>
              <c:f>Sheet1!$I$20:$I$23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Sheet1!$L$20:$L$23</c:f>
              <c:numCache>
                <c:formatCode>General</c:formatCode>
                <c:ptCount val="4"/>
                <c:pt idx="0">
                  <c:v>10946.857142857143</c:v>
                </c:pt>
                <c:pt idx="1">
                  <c:v>9017.2857142857138</c:v>
                </c:pt>
                <c:pt idx="2">
                  <c:v>8388.7619047619046</c:v>
                </c:pt>
                <c:pt idx="3">
                  <c:v>9821.0952380952385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29472"/>
        <c:axId val="99531008"/>
      </c:barChart>
      <c:catAx>
        <c:axId val="99529472"/>
        <c:scaling>
          <c:orientation val="minMax"/>
        </c:scaling>
        <c:delete val="0"/>
        <c:axPos val="b"/>
        <c:majorTickMark val="out"/>
        <c:minorTickMark val="none"/>
        <c:tickLblPos val="nextTo"/>
        <c:crossAx val="99531008"/>
        <c:crosses val="autoZero"/>
        <c:auto val="1"/>
        <c:lblAlgn val="ctr"/>
        <c:lblOffset val="100"/>
        <c:noMultiLvlLbl val="0"/>
      </c:catAx>
      <c:valAx>
        <c:axId val="9953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529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Sheet1!$I$36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Sheet1!$J$42:$M$42</c:f>
                <c:numCache>
                  <c:formatCode>General</c:formatCode>
                  <c:ptCount val="4"/>
                  <c:pt idx="0">
                    <c:v>16606.810940523341</c:v>
                  </c:pt>
                  <c:pt idx="1">
                    <c:v>4906.0214692908603</c:v>
                  </c:pt>
                  <c:pt idx="2">
                    <c:v>12387.841116729474</c:v>
                  </c:pt>
                  <c:pt idx="3">
                    <c:v>12576.197770277902</c:v>
                  </c:pt>
                </c:numCache>
              </c:numRef>
            </c:plus>
            <c:minus>
              <c:numRef>
                <c:f>Sheet1!$J$42:$M$42</c:f>
                <c:numCache>
                  <c:formatCode>General</c:formatCode>
                  <c:ptCount val="4"/>
                  <c:pt idx="0">
                    <c:v>16606.810940523341</c:v>
                  </c:pt>
                  <c:pt idx="1">
                    <c:v>4906.0214692908603</c:v>
                  </c:pt>
                  <c:pt idx="2">
                    <c:v>12387.841116729474</c:v>
                  </c:pt>
                  <c:pt idx="3">
                    <c:v>12576.197770277902</c:v>
                  </c:pt>
                </c:numCache>
              </c:numRef>
            </c:minus>
          </c:errBars>
          <c:cat>
            <c:strRef>
              <c:f>Sheet1!$J$35:$M$35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Sheet1!$J$36:$M$36</c:f>
              <c:numCache>
                <c:formatCode>General</c:formatCode>
                <c:ptCount val="4"/>
                <c:pt idx="0">
                  <c:v>19550.285714285714</c:v>
                </c:pt>
                <c:pt idx="1">
                  <c:v>10682.428571428571</c:v>
                </c:pt>
                <c:pt idx="2">
                  <c:v>13570.333333333334</c:v>
                </c:pt>
                <c:pt idx="3">
                  <c:v>14881.428571428571</c:v>
                </c:pt>
              </c:numCache>
            </c:numRef>
          </c:val>
        </c:ser>
        <c:ser>
          <c:idx val="1"/>
          <c:order val="1"/>
          <c:tx>
            <c:strRef>
              <c:f>Sheet1!$I$37</c:f>
              <c:strCache>
                <c:ptCount val="1"/>
                <c:pt idx="0">
                  <c:v>Medium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Sheet1!$J$43:$M$43</c:f>
                <c:numCache>
                  <c:formatCode>General</c:formatCode>
                  <c:ptCount val="4"/>
                  <c:pt idx="0">
                    <c:v>17456.084476002437</c:v>
                  </c:pt>
                  <c:pt idx="1">
                    <c:v>10844.304911532399</c:v>
                  </c:pt>
                  <c:pt idx="2">
                    <c:v>7420.4492012019773</c:v>
                  </c:pt>
                  <c:pt idx="3">
                    <c:v>8927.0460762571984</c:v>
                  </c:pt>
                </c:numCache>
              </c:numRef>
            </c:plus>
            <c:minus>
              <c:numRef>
                <c:f>Sheet1!$J$43:$M$43</c:f>
                <c:numCache>
                  <c:formatCode>General</c:formatCode>
                  <c:ptCount val="4"/>
                  <c:pt idx="0">
                    <c:v>17456.084476002437</c:v>
                  </c:pt>
                  <c:pt idx="1">
                    <c:v>10844.304911532399</c:v>
                  </c:pt>
                  <c:pt idx="2">
                    <c:v>7420.4492012019773</c:v>
                  </c:pt>
                  <c:pt idx="3">
                    <c:v>8927.0460762571984</c:v>
                  </c:pt>
                </c:numCache>
              </c:numRef>
            </c:minus>
          </c:errBars>
          <c:cat>
            <c:strRef>
              <c:f>Sheet1!$J$35:$M$35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Sheet1!$J$37:$M$37</c:f>
              <c:numCache>
                <c:formatCode>General</c:formatCode>
                <c:ptCount val="4"/>
                <c:pt idx="0">
                  <c:v>18929.666666666668</c:v>
                </c:pt>
                <c:pt idx="1">
                  <c:v>14409.714285714286</c:v>
                </c:pt>
                <c:pt idx="2">
                  <c:v>14034.380952380952</c:v>
                </c:pt>
                <c:pt idx="3">
                  <c:v>14720.380952380952</c:v>
                </c:pt>
              </c:numCache>
            </c:numRef>
          </c:val>
        </c:ser>
        <c:ser>
          <c:idx val="2"/>
          <c:order val="2"/>
          <c:tx>
            <c:strRef>
              <c:f>Sheet1!$I$38</c:f>
              <c:strCache>
                <c:ptCount val="1"/>
                <c:pt idx="0">
                  <c:v>High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Sheet1!$J$44:$M$44</c:f>
                <c:numCache>
                  <c:formatCode>General</c:formatCode>
                  <c:ptCount val="4"/>
                  <c:pt idx="0">
                    <c:v>5481.6374521800381</c:v>
                  </c:pt>
                  <c:pt idx="1">
                    <c:v>10857.043228333614</c:v>
                  </c:pt>
                  <c:pt idx="2">
                    <c:v>7695.8748439852961</c:v>
                  </c:pt>
                  <c:pt idx="3">
                    <c:v>10228.680083354795</c:v>
                  </c:pt>
                </c:numCache>
              </c:numRef>
            </c:plus>
            <c:minus>
              <c:numRef>
                <c:f>Sheet1!$J$44:$M$44</c:f>
                <c:numCache>
                  <c:formatCode>General</c:formatCode>
                  <c:ptCount val="4"/>
                  <c:pt idx="0">
                    <c:v>5481.6374521800381</c:v>
                  </c:pt>
                  <c:pt idx="1">
                    <c:v>10857.043228333614</c:v>
                  </c:pt>
                  <c:pt idx="2">
                    <c:v>7695.8748439852961</c:v>
                  </c:pt>
                  <c:pt idx="3">
                    <c:v>10228.680083354795</c:v>
                  </c:pt>
                </c:numCache>
              </c:numRef>
            </c:minus>
          </c:errBars>
          <c:cat>
            <c:strRef>
              <c:f>Sheet1!$J$35:$M$35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Sheet1!$J$38:$M$38</c:f>
              <c:numCache>
                <c:formatCode>General</c:formatCode>
                <c:ptCount val="4"/>
                <c:pt idx="0">
                  <c:v>13286.571428571429</c:v>
                </c:pt>
                <c:pt idx="1">
                  <c:v>14759.809523809523</c:v>
                </c:pt>
                <c:pt idx="2">
                  <c:v>14226.714285714286</c:v>
                </c:pt>
                <c:pt idx="3">
                  <c:v>13005.619047619048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18528"/>
        <c:axId val="80120064"/>
      </c:barChart>
      <c:catAx>
        <c:axId val="80118528"/>
        <c:scaling>
          <c:orientation val="minMax"/>
        </c:scaling>
        <c:delete val="0"/>
        <c:axPos val="b"/>
        <c:majorTickMark val="out"/>
        <c:minorTickMark val="none"/>
        <c:tickLblPos val="nextTo"/>
        <c:crossAx val="80120064"/>
        <c:crosses val="autoZero"/>
        <c:auto val="1"/>
        <c:lblAlgn val="ctr"/>
        <c:lblOffset val="100"/>
        <c:noMultiLvlLbl val="0"/>
      </c:catAx>
      <c:valAx>
        <c:axId val="80120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118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323850</xdr:colOff>
      <xdr:row>0</xdr:row>
      <xdr:rowOff>23812</xdr:rowOff>
    </xdr:from>
    <xdr:to>
      <xdr:col>20</xdr:col>
      <xdr:colOff>19050</xdr:colOff>
      <xdr:row>14</xdr:row>
      <xdr:rowOff>100012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66675</xdr:colOff>
      <xdr:row>14</xdr:row>
      <xdr:rowOff>147637</xdr:rowOff>
    </xdr:from>
    <xdr:to>
      <xdr:col>20</xdr:col>
      <xdr:colOff>371475</xdr:colOff>
      <xdr:row>29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200025</xdr:colOff>
      <xdr:row>30</xdr:row>
      <xdr:rowOff>119062</xdr:rowOff>
    </xdr:from>
    <xdr:to>
      <xdr:col>21</xdr:col>
      <xdr:colOff>504825</xdr:colOff>
      <xdr:row>45</xdr:row>
      <xdr:rowOff>4762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zoomScale="70" zoomScaleNormal="70" workbookViewId="0">
      <selection activeCell="L7" sqref="L7"/>
    </sheetView>
  </sheetViews>
  <sheetFormatPr defaultRowHeight="15" x14ac:dyDescent="0.25"/>
  <sheetData>
    <row r="1" spans="1:12" x14ac:dyDescent="0.25">
      <c r="A1">
        <v>18</v>
      </c>
      <c r="B1">
        <v>0</v>
      </c>
      <c r="C1" t="s">
        <v>0</v>
      </c>
      <c r="D1">
        <v>0</v>
      </c>
      <c r="E1">
        <v>23940</v>
      </c>
      <c r="F1" t="b">
        <v>1</v>
      </c>
      <c r="I1" t="s">
        <v>3</v>
      </c>
      <c r="J1" t="s">
        <v>4</v>
      </c>
      <c r="K1" t="s">
        <v>5</v>
      </c>
      <c r="L1" t="s">
        <v>6</v>
      </c>
    </row>
    <row r="2" spans="1:12" x14ac:dyDescent="0.25">
      <c r="A2">
        <v>19</v>
      </c>
      <c r="B2">
        <v>0</v>
      </c>
      <c r="C2" t="s">
        <v>0</v>
      </c>
      <c r="D2">
        <v>1</v>
      </c>
      <c r="E2">
        <v>16332</v>
      </c>
      <c r="F2" t="b">
        <v>1</v>
      </c>
      <c r="H2" t="s">
        <v>7</v>
      </c>
      <c r="I2">
        <f>AVERAGE($E$1:$E$63)</f>
        <v>17255.507936507936</v>
      </c>
      <c r="J2">
        <f>AVERAGE($E$64:$E$126)</f>
        <v>13283.984126984127</v>
      </c>
      <c r="K2">
        <f>AVERAGE($E$127:$E$189)</f>
        <v>13943.809523809523</v>
      </c>
      <c r="L2">
        <f>AVERAGE($E$190:$E$252)</f>
        <v>14202.476190476191</v>
      </c>
    </row>
    <row r="3" spans="1:12" x14ac:dyDescent="0.25">
      <c r="A3">
        <v>20</v>
      </c>
      <c r="B3">
        <v>0</v>
      </c>
      <c r="C3" t="s">
        <v>0</v>
      </c>
      <c r="D3">
        <v>2</v>
      </c>
      <c r="E3">
        <v>15553</v>
      </c>
      <c r="F3" t="b">
        <v>1</v>
      </c>
      <c r="H3" t="s">
        <v>8</v>
      </c>
      <c r="I3">
        <f>STDEV($E$1:$E$63)</f>
        <v>14318.516513842978</v>
      </c>
      <c r="J3">
        <f>STDEV($E$64:$E$126)</f>
        <v>9337.186746469928</v>
      </c>
      <c r="K3">
        <f>STDEV($E$127:$E$189)</f>
        <v>9297.715161328515</v>
      </c>
      <c r="L3">
        <f>STDEV($E$190:$E$252)</f>
        <v>10545.577736750287</v>
      </c>
    </row>
    <row r="4" spans="1:12" x14ac:dyDescent="0.25">
      <c r="A4">
        <v>21</v>
      </c>
      <c r="B4">
        <v>0</v>
      </c>
      <c r="C4" t="s">
        <v>1</v>
      </c>
      <c r="D4">
        <v>0</v>
      </c>
      <c r="E4">
        <v>10769</v>
      </c>
      <c r="F4" t="b">
        <v>1</v>
      </c>
    </row>
    <row r="5" spans="1:12" x14ac:dyDescent="0.25">
      <c r="A5">
        <v>22</v>
      </c>
      <c r="B5">
        <v>0</v>
      </c>
      <c r="C5" t="s">
        <v>1</v>
      </c>
      <c r="D5">
        <v>1</v>
      </c>
      <c r="E5">
        <v>17217</v>
      </c>
      <c r="F5" t="b">
        <v>1</v>
      </c>
    </row>
    <row r="6" spans="1:12" x14ac:dyDescent="0.25">
      <c r="A6">
        <v>23</v>
      </c>
      <c r="B6">
        <v>0</v>
      </c>
      <c r="C6" t="s">
        <v>1</v>
      </c>
      <c r="D6">
        <v>2</v>
      </c>
      <c r="E6">
        <v>14380</v>
      </c>
      <c r="F6" t="b">
        <v>1</v>
      </c>
    </row>
    <row r="7" spans="1:12" x14ac:dyDescent="0.25">
      <c r="A7">
        <v>24</v>
      </c>
      <c r="B7">
        <v>0</v>
      </c>
      <c r="C7" t="s">
        <v>2</v>
      </c>
      <c r="D7">
        <v>0</v>
      </c>
      <c r="E7">
        <v>4884</v>
      </c>
      <c r="F7" t="b">
        <v>1</v>
      </c>
    </row>
    <row r="8" spans="1:12" x14ac:dyDescent="0.25">
      <c r="A8">
        <v>25</v>
      </c>
      <c r="B8">
        <v>0</v>
      </c>
      <c r="C8" t="s">
        <v>2</v>
      </c>
      <c r="D8">
        <v>1</v>
      </c>
      <c r="E8">
        <v>1722</v>
      </c>
      <c r="F8" t="b">
        <v>1</v>
      </c>
    </row>
    <row r="9" spans="1:12" x14ac:dyDescent="0.25">
      <c r="A9">
        <v>26</v>
      </c>
      <c r="B9">
        <v>0</v>
      </c>
      <c r="C9" t="s">
        <v>2</v>
      </c>
      <c r="D9">
        <v>2</v>
      </c>
      <c r="E9">
        <v>13563</v>
      </c>
      <c r="F9" t="b">
        <v>1</v>
      </c>
    </row>
    <row r="10" spans="1:12" x14ac:dyDescent="0.25">
      <c r="A10">
        <v>18</v>
      </c>
      <c r="B10">
        <v>0</v>
      </c>
      <c r="C10" t="s">
        <v>0</v>
      </c>
      <c r="D10">
        <v>0</v>
      </c>
      <c r="E10">
        <v>23050</v>
      </c>
      <c r="F10" t="b">
        <v>1</v>
      </c>
    </row>
    <row r="11" spans="1:12" x14ac:dyDescent="0.25">
      <c r="A11">
        <v>19</v>
      </c>
      <c r="B11">
        <v>0</v>
      </c>
      <c r="C11" t="s">
        <v>0</v>
      </c>
      <c r="D11">
        <v>1</v>
      </c>
      <c r="E11">
        <v>15172</v>
      </c>
      <c r="F11" t="b">
        <v>1</v>
      </c>
    </row>
    <row r="12" spans="1:12" x14ac:dyDescent="0.25">
      <c r="A12">
        <v>20</v>
      </c>
      <c r="B12">
        <v>0</v>
      </c>
      <c r="C12" t="s">
        <v>0</v>
      </c>
      <c r="D12">
        <v>2</v>
      </c>
      <c r="E12">
        <v>7107</v>
      </c>
      <c r="F12" t="b">
        <v>1</v>
      </c>
    </row>
    <row r="13" spans="1:12" x14ac:dyDescent="0.25">
      <c r="A13">
        <v>21</v>
      </c>
      <c r="B13">
        <v>0</v>
      </c>
      <c r="C13" t="s">
        <v>1</v>
      </c>
      <c r="D13">
        <v>0</v>
      </c>
      <c r="E13">
        <v>12772</v>
      </c>
      <c r="F13" t="b">
        <v>1</v>
      </c>
    </row>
    <row r="14" spans="1:12" x14ac:dyDescent="0.25">
      <c r="A14">
        <v>22</v>
      </c>
      <c r="B14">
        <v>0</v>
      </c>
      <c r="C14" t="s">
        <v>1</v>
      </c>
      <c r="D14">
        <v>1</v>
      </c>
      <c r="E14">
        <v>5499</v>
      </c>
      <c r="F14" t="b">
        <v>1</v>
      </c>
    </row>
    <row r="15" spans="1:12" x14ac:dyDescent="0.25">
      <c r="A15">
        <v>23</v>
      </c>
      <c r="B15">
        <v>0</v>
      </c>
      <c r="C15" t="s">
        <v>1</v>
      </c>
      <c r="D15">
        <v>2</v>
      </c>
      <c r="E15">
        <v>13236</v>
      </c>
      <c r="F15" t="b">
        <v>1</v>
      </c>
    </row>
    <row r="16" spans="1:12" x14ac:dyDescent="0.25">
      <c r="A16">
        <v>24</v>
      </c>
      <c r="B16">
        <v>0</v>
      </c>
      <c r="C16" t="s">
        <v>2</v>
      </c>
      <c r="D16">
        <v>0</v>
      </c>
      <c r="E16">
        <v>6330</v>
      </c>
      <c r="F16" t="b">
        <v>1</v>
      </c>
    </row>
    <row r="17" spans="1:13" x14ac:dyDescent="0.25">
      <c r="A17">
        <v>25</v>
      </c>
      <c r="B17">
        <v>0</v>
      </c>
      <c r="C17" t="s">
        <v>2</v>
      </c>
      <c r="D17">
        <v>1</v>
      </c>
      <c r="E17">
        <v>4891</v>
      </c>
      <c r="F17" t="b">
        <v>1</v>
      </c>
    </row>
    <row r="18" spans="1:13" x14ac:dyDescent="0.25">
      <c r="A18">
        <v>26</v>
      </c>
      <c r="B18">
        <v>0</v>
      </c>
      <c r="C18" t="s">
        <v>2</v>
      </c>
      <c r="D18">
        <v>2</v>
      </c>
      <c r="E18">
        <v>4571</v>
      </c>
      <c r="F18" t="b">
        <v>1</v>
      </c>
      <c r="I18" t="s">
        <v>7</v>
      </c>
    </row>
    <row r="19" spans="1:13" x14ac:dyDescent="0.25">
      <c r="A19">
        <v>9</v>
      </c>
      <c r="B19">
        <v>0</v>
      </c>
      <c r="C19" t="s">
        <v>0</v>
      </c>
      <c r="D19">
        <v>0</v>
      </c>
      <c r="E19">
        <v>8514</v>
      </c>
      <c r="F19" t="b">
        <v>1</v>
      </c>
      <c r="J19" t="s">
        <v>0</v>
      </c>
      <c r="K19" t="s">
        <v>1</v>
      </c>
      <c r="L19" t="s">
        <v>2</v>
      </c>
    </row>
    <row r="20" spans="1:13" x14ac:dyDescent="0.25">
      <c r="A20">
        <v>10</v>
      </c>
      <c r="B20">
        <v>0</v>
      </c>
      <c r="C20" t="s">
        <v>0</v>
      </c>
      <c r="D20">
        <v>1</v>
      </c>
      <c r="E20" s="1">
        <v>33737</v>
      </c>
      <c r="F20" t="b">
        <v>1</v>
      </c>
      <c r="I20" t="s">
        <v>3</v>
      </c>
      <c r="J20">
        <f>AVERAGE($E$1:$E$3,$E$10:$E$12,$E$19:$E$21,$E$28:$E$30,$E$31:$E$33,$E$46:$E$51)</f>
        <v>24347.904761904763</v>
      </c>
      <c r="K20">
        <f>AVERAGE($E$4:$E$6,$E$13:$E$15,$E$22:$E$24,$E$34:$E$36,$E$37:$E$39,$E$52:$E$57)</f>
        <v>16471.761904761905</v>
      </c>
      <c r="L20">
        <f>AVERAGE($E$7:$E$9,$E$16:$E$18,$E$25:$E$27,$E$40:$E$42,$E$43:$E$45,$E$58:$E$63)</f>
        <v>10946.857142857143</v>
      </c>
    </row>
    <row r="21" spans="1:13" x14ac:dyDescent="0.25">
      <c r="A21">
        <v>11</v>
      </c>
      <c r="B21">
        <v>0</v>
      </c>
      <c r="C21" t="s">
        <v>0</v>
      </c>
      <c r="D21">
        <v>2</v>
      </c>
      <c r="E21">
        <v>15538</v>
      </c>
      <c r="F21" t="b">
        <v>1</v>
      </c>
      <c r="I21" t="s">
        <v>4</v>
      </c>
      <c r="J21">
        <f>AVERAGE($E$64:$E$66,$E$73:$E$75,$E$82:$E$84,$E$91:$E$96,$E$109:$E$114)</f>
        <v>17010.380952380954</v>
      </c>
      <c r="K21">
        <f>AVERAGE($E$67:$E$69,$E$76:$E$78,$E$85:$E$87,$E$97:$E$102,$E$115:$E$120)</f>
        <v>13824.285714285714</v>
      </c>
      <c r="L21">
        <f>AVERAGE($E$70:$E$72,$E$79:$E$81,$E$88:$E$90,$E$103:$E$108,$E$121:$E$126)</f>
        <v>9017.2857142857138</v>
      </c>
    </row>
    <row r="22" spans="1:13" x14ac:dyDescent="0.25">
      <c r="A22">
        <v>12</v>
      </c>
      <c r="B22">
        <v>0</v>
      </c>
      <c r="C22" t="s">
        <v>1</v>
      </c>
      <c r="D22">
        <v>0</v>
      </c>
      <c r="E22" s="1">
        <v>50665</v>
      </c>
      <c r="F22" t="b">
        <v>1</v>
      </c>
      <c r="I22" t="s">
        <v>5</v>
      </c>
      <c r="J22">
        <f>AVERAGE($E$127:$E$129,$E$136:$E$138,$E$145:$E$147,$E$154:$E$159,$E$172:$E$177)</f>
        <v>20151.238095238095</v>
      </c>
      <c r="K22">
        <f>AVERAGE($E$130:$E$132,$E$139:$E$141,$E$148:$E$150,$E$160:$E$165,$E$178:$E$183)</f>
        <v>13291.428571428571</v>
      </c>
      <c r="L22">
        <f>AVERAGE($E$133:$E$135,$E$142:$E$144,$E$151:$E$153,$E$166:$E$171,$E$184:$E$189)</f>
        <v>8388.7619047619046</v>
      </c>
    </row>
    <row r="23" spans="1:13" x14ac:dyDescent="0.25">
      <c r="A23">
        <v>13</v>
      </c>
      <c r="B23">
        <v>0</v>
      </c>
      <c r="C23" t="s">
        <v>1</v>
      </c>
      <c r="D23">
        <v>1</v>
      </c>
      <c r="E23">
        <v>18050</v>
      </c>
      <c r="F23" t="b">
        <v>1</v>
      </c>
      <c r="I23" t="s">
        <v>6</v>
      </c>
      <c r="J23">
        <f>AVERAGE($E$190:$E$192,$E$199:$E$201,$E$208:$E$210,$E$217:$E$222,$E$235:$E$240)</f>
        <v>20197.952380952382</v>
      </c>
      <c r="K23">
        <f>AVERAGE($E$193:$E$195,$E$202:$E$204,$E$211:$E$213,$E$223:$E$228,$E$241:$E$246)</f>
        <v>12588.380952380952</v>
      </c>
      <c r="L23">
        <f>AVERAGE($E$196:$E$198,$E$205:$E$207,$E$214:$E$216,$E$229:$E$234,$E$247:$E$252)</f>
        <v>9821.0952380952385</v>
      </c>
    </row>
    <row r="24" spans="1:13" x14ac:dyDescent="0.25">
      <c r="A24">
        <v>14</v>
      </c>
      <c r="B24">
        <v>0</v>
      </c>
      <c r="C24" t="s">
        <v>1</v>
      </c>
      <c r="D24">
        <v>2</v>
      </c>
      <c r="E24">
        <v>14858</v>
      </c>
      <c r="F24" t="b">
        <v>1</v>
      </c>
    </row>
    <row r="25" spans="1:13" x14ac:dyDescent="0.25">
      <c r="A25">
        <v>15</v>
      </c>
      <c r="B25">
        <v>0</v>
      </c>
      <c r="C25" t="s">
        <v>2</v>
      </c>
      <c r="D25">
        <v>0</v>
      </c>
      <c r="E25">
        <v>9636</v>
      </c>
      <c r="F25" t="b">
        <v>1</v>
      </c>
      <c r="I25" t="s">
        <v>9</v>
      </c>
    </row>
    <row r="26" spans="1:13" x14ac:dyDescent="0.25">
      <c r="A26">
        <v>16</v>
      </c>
      <c r="B26">
        <v>0</v>
      </c>
      <c r="C26" t="s">
        <v>2</v>
      </c>
      <c r="D26">
        <v>1</v>
      </c>
      <c r="E26">
        <v>20378</v>
      </c>
      <c r="F26" t="b">
        <v>1</v>
      </c>
      <c r="J26" t="s">
        <v>0</v>
      </c>
      <c r="K26" t="s">
        <v>1</v>
      </c>
      <c r="L26" t="s">
        <v>2</v>
      </c>
    </row>
    <row r="27" spans="1:13" x14ac:dyDescent="0.25">
      <c r="A27">
        <v>17</v>
      </c>
      <c r="B27">
        <v>0</v>
      </c>
      <c r="C27" t="s">
        <v>2</v>
      </c>
      <c r="D27">
        <v>2</v>
      </c>
      <c r="E27">
        <v>10154</v>
      </c>
      <c r="F27" t="b">
        <v>1</v>
      </c>
      <c r="I27" t="s">
        <v>3</v>
      </c>
      <c r="J27">
        <f>STDEV($E$1:$E$3,$E$10:$E$12,$E$19:$E$21,$E$28:$E$30,$E$31:$E$33,$E$46:$E$51)</f>
        <v>18949.403481125104</v>
      </c>
      <c r="K27">
        <f>STDEV($E$4:$E$6,$E$13:$E$15,$E$22:$E$24,$E$34:$E$36,$E$37:$E$39,$E$52:$E$57)</f>
        <v>11856.302386936501</v>
      </c>
      <c r="L27">
        <f>STDEV($E$7:$E$9,$E$16:$E$18,$E$25:$E$27,$E$40:$E$42,$E$43:$E$45,$E$58:$E$63)</f>
        <v>6376.4207615692549</v>
      </c>
    </row>
    <row r="28" spans="1:13" x14ac:dyDescent="0.25">
      <c r="A28">
        <v>54</v>
      </c>
      <c r="B28">
        <v>0</v>
      </c>
      <c r="C28" t="s">
        <v>0</v>
      </c>
      <c r="D28">
        <v>0</v>
      </c>
      <c r="E28" s="1">
        <v>72655</v>
      </c>
      <c r="F28" t="b">
        <v>1</v>
      </c>
      <c r="I28" t="s">
        <v>4</v>
      </c>
      <c r="J28">
        <f>STDEV($E$64:$E$66,$E$73:$E$75,$E$82:$E$84,$E$91:$E$96,$E$109:$E$114)</f>
        <v>10321.203197671241</v>
      </c>
      <c r="K28">
        <f>STDEV($E$67:$E$69,$E$76:$E$78,$E$85:$E$87,$E$97:$E$102,$E$115:$E$120)</f>
        <v>9365.1620442086169</v>
      </c>
      <c r="L28">
        <f>STDEV($E$70:$E$72,$E$79:$E$81,$E$88:$E$90,$E$103:$E$108,$E$121:$E$126)</f>
        <v>6483.2222632180146</v>
      </c>
    </row>
    <row r="29" spans="1:13" x14ac:dyDescent="0.25">
      <c r="A29">
        <v>55</v>
      </c>
      <c r="B29">
        <v>0</v>
      </c>
      <c r="C29" t="s">
        <v>0</v>
      </c>
      <c r="D29">
        <v>0</v>
      </c>
      <c r="E29">
        <v>7922</v>
      </c>
      <c r="F29" t="b">
        <v>1</v>
      </c>
      <c r="I29" t="s">
        <v>5</v>
      </c>
      <c r="J29">
        <f>STDEV($E$127:$E$129,$E$136:$E$138,$E$145:$E$147,$E$154:$E$159,$E$172:$E$177)</f>
        <v>11588.415952600086</v>
      </c>
      <c r="K29">
        <f>STDEV($E$130:$E$132,$E$139:$E$141,$E$148:$E$150,$E$160:$E$165,$E$178:$E$183)</f>
        <v>6803.6264048772446</v>
      </c>
      <c r="L29">
        <f>STDEV($E$133:$E$135,$E$142:$E$144,$E$151:$E$153,$E$166:$E$171,$E$184:$E$189)</f>
        <v>3754.9187994517524</v>
      </c>
    </row>
    <row r="30" spans="1:13" x14ac:dyDescent="0.25">
      <c r="A30">
        <v>56</v>
      </c>
      <c r="B30">
        <v>0</v>
      </c>
      <c r="C30" t="s">
        <v>0</v>
      </c>
      <c r="D30">
        <v>1</v>
      </c>
      <c r="E30">
        <v>13009</v>
      </c>
      <c r="F30" t="b">
        <v>1</v>
      </c>
      <c r="I30" t="s">
        <v>6</v>
      </c>
      <c r="J30">
        <f>STDEV($E$190:$E$192,$E$199:$E$201,$E$208:$E$210,$E$217:$E$222,$E$235:$E$240)</f>
        <v>13130.127788701033</v>
      </c>
      <c r="K30">
        <f>STDEV($E$193:$E$195,$E$202:$E$204,$E$211:$E$213,$E$223:$E$228,$E$241:$E$246)</f>
        <v>8238.7221307444925</v>
      </c>
      <c r="L30">
        <f>STDEV($E$196:$E$198,$E$205:$E$207,$E$214:$E$216,$E$229:$E$234,$E$247:$E$252)</f>
        <v>6620.9393737200307</v>
      </c>
    </row>
    <row r="31" spans="1:13" x14ac:dyDescent="0.25">
      <c r="A31">
        <v>57</v>
      </c>
      <c r="B31">
        <v>0</v>
      </c>
      <c r="C31" t="s">
        <v>0</v>
      </c>
      <c r="D31">
        <v>1</v>
      </c>
      <c r="E31">
        <v>12700</v>
      </c>
      <c r="F31" t="b">
        <v>1</v>
      </c>
    </row>
    <row r="32" spans="1:13" x14ac:dyDescent="0.25">
      <c r="A32">
        <v>58</v>
      </c>
      <c r="B32">
        <v>0</v>
      </c>
      <c r="C32" t="s">
        <v>0</v>
      </c>
      <c r="D32">
        <v>2</v>
      </c>
      <c r="E32">
        <v>18362</v>
      </c>
      <c r="F32" t="b">
        <v>1</v>
      </c>
      <c r="M32" s="2"/>
    </row>
    <row r="33" spans="1:13" x14ac:dyDescent="0.25">
      <c r="A33">
        <v>59</v>
      </c>
      <c r="B33">
        <v>0</v>
      </c>
      <c r="C33" t="s">
        <v>0</v>
      </c>
      <c r="D33">
        <v>2</v>
      </c>
      <c r="E33">
        <v>9298</v>
      </c>
      <c r="F33" t="b">
        <v>1</v>
      </c>
    </row>
    <row r="34" spans="1:13" x14ac:dyDescent="0.25">
      <c r="A34">
        <v>60</v>
      </c>
      <c r="B34">
        <v>0</v>
      </c>
      <c r="C34" t="s">
        <v>1</v>
      </c>
      <c r="D34">
        <v>0</v>
      </c>
      <c r="E34">
        <v>7987</v>
      </c>
      <c r="F34" t="b">
        <v>1</v>
      </c>
      <c r="I34" t="s">
        <v>7</v>
      </c>
    </row>
    <row r="35" spans="1:13" x14ac:dyDescent="0.25">
      <c r="A35">
        <v>61</v>
      </c>
      <c r="B35">
        <v>0</v>
      </c>
      <c r="C35" t="s">
        <v>1</v>
      </c>
      <c r="D35">
        <v>0</v>
      </c>
      <c r="E35">
        <v>7754</v>
      </c>
      <c r="F35" t="b">
        <v>1</v>
      </c>
      <c r="J35" t="s">
        <v>3</v>
      </c>
      <c r="K35" t="s">
        <v>4</v>
      </c>
      <c r="L35" t="s">
        <v>5</v>
      </c>
      <c r="M35" t="s">
        <v>6</v>
      </c>
    </row>
    <row r="36" spans="1:13" x14ac:dyDescent="0.25">
      <c r="A36">
        <v>62</v>
      </c>
      <c r="B36">
        <v>0</v>
      </c>
      <c r="C36" t="s">
        <v>1</v>
      </c>
      <c r="D36">
        <v>1</v>
      </c>
      <c r="E36">
        <v>13170</v>
      </c>
      <c r="F36" t="b">
        <v>1</v>
      </c>
      <c r="I36" t="s">
        <v>10</v>
      </c>
      <c r="J36">
        <f>AVERAGE($E$1,$E$4,$E$7,$E$10,$E$13,$E$16,$E$19,$E$22,$E$25,$E$28,$E$29,$E$34:$E$35,$E$40:$E$41,$E$46:$E$47,$E$52:$E$53,$E$58:$E$59)</f>
        <v>19550.285714285714</v>
      </c>
      <c r="K36">
        <f>AVERAGE($E$64,$E$67,$E$70,$E$73,$E$76,$E$79,$E$82,$E$85,$E$88,$E$91:$E$92,$E$97:$E$98,$E$103:$E$104,$E$109:$E$110,$E$115:$E$116,$E$121:$E$122)</f>
        <v>10682.428571428571</v>
      </c>
      <c r="L36">
        <f>AVERAGE($E$127,$E$130,$E$133,$E$136,$E$139,$E$142,$E$145,$E$148,$E$151,$E$154:$E$155,$E$160:$E$161,$E$166:$E$167,$E$172:$E$173,$E$178:$E$179,$E$184:$E$185)</f>
        <v>13570.333333333334</v>
      </c>
      <c r="M36">
        <f>AVERAGE($E$190,$E$193,$E$196,$E$199,$E$202,$E$205,$E$208,$E$211,$E$214,$E$217:$E$218,$E$223:$E$224,$E$229:$E$230,$E$235:$E$236,$E$241:$E$242,$E$247:$E$248)</f>
        <v>14881.428571428571</v>
      </c>
    </row>
    <row r="37" spans="1:13" x14ac:dyDescent="0.25">
      <c r="A37">
        <v>63</v>
      </c>
      <c r="B37">
        <v>0</v>
      </c>
      <c r="C37" t="s">
        <v>1</v>
      </c>
      <c r="D37">
        <v>1</v>
      </c>
      <c r="E37">
        <v>794</v>
      </c>
      <c r="F37" t="b">
        <v>0</v>
      </c>
      <c r="I37" t="s">
        <v>11</v>
      </c>
      <c r="J37">
        <f>AVERAGE($E$2,$E$5,$E$8,$E$11,$E$14,$E$17,$E$20,$E$23,$E$26,$E$30,$E$31,$E$36:$E$37,$E$42:$E$43,$E$48:$E$49,$E$54:$E$55,$E$60:$E$61)</f>
        <v>18929.666666666668</v>
      </c>
      <c r="K37">
        <f>AVERAGE($E$65,$E$68,$E$71,$E$74,$E$77,$E$80,$E$83,$E$86,$E$89,$E$93:$E$94,$E$99:$E$100,$E$105:$E$106,$E$111:$E$112,$E$117:$E$118,$E$123:$E$124)</f>
        <v>14409.714285714286</v>
      </c>
      <c r="L37">
        <f>AVERAGE($E$128,$E$131,$E$134,$E$137,$E$140,$E$143,$E$146,$E$149,$E$152,$E$156:$E$157,$E$162:$E$163,$E$168:$E$169,$E$174:$E$175,$E$180:$E$181,$E$186:$E$187)</f>
        <v>14034.380952380952</v>
      </c>
      <c r="M37">
        <f>AVERAGE($E$191,$E$194,$E$197,$E$200,$E$203,$E$206,$E$209,$E$212,$E$215,$E$219:$E$220,$E$225:$E$226,$E$231:$E$232,$E$237:$E$238,$E$243:$E$244,$E$249:$E$250)</f>
        <v>14720.380952380952</v>
      </c>
    </row>
    <row r="38" spans="1:13" x14ac:dyDescent="0.25">
      <c r="A38">
        <v>64</v>
      </c>
      <c r="B38">
        <v>0</v>
      </c>
      <c r="C38" t="s">
        <v>1</v>
      </c>
      <c r="D38">
        <v>2</v>
      </c>
      <c r="E38">
        <v>12274</v>
      </c>
      <c r="F38" t="b">
        <v>1</v>
      </c>
      <c r="I38" t="s">
        <v>12</v>
      </c>
      <c r="J38">
        <f>AVERAGE($E$3,$E$6,$E$9,$E$12,$E$15,$E$18,$E$21,$E$24,$E$27,$E$32,$E$33,$E$38:$E$39,$E$44:$E$45,$E$50:$E$51,$E$56:$E$57,$E$62:$E$63)</f>
        <v>13286.571428571429</v>
      </c>
      <c r="K38">
        <f>AVERAGE($E$66,$E$69,$E$72,$E$75,$E$78,$E$81,$E$84,$E$87,$E$90,$E$95:$E$96,$E$101:$E$102,$E$107:$E$108,$E$113:$E$114,$E$119:$E$120,$E$125:$E$126)</f>
        <v>14759.809523809523</v>
      </c>
      <c r="L38">
        <f>AVERAGE($E$129,$E$132,$E$135,$E$138,$E$141,$E$144,$E$147,$E$150,$E$153,$E$158:$E$159,$E$164:$E$165,$E$170:$E$171,$E$176:$E$177,$E$182:$E$183,$E$188:$E$189)</f>
        <v>14226.714285714286</v>
      </c>
      <c r="M38">
        <f>AVERAGE($E$192,$E$195,$E$198,$E$201,$E$204,$E$207,$E$210,$E$213,$E$216,$E$221:$E$222,$E$227:$E$228,$E$233:$E$234,$E$239:$E$240,$E$245:$E$246,$E$251:$E$252)</f>
        <v>13005.619047619048</v>
      </c>
    </row>
    <row r="39" spans="1:13" x14ac:dyDescent="0.25">
      <c r="A39">
        <v>65</v>
      </c>
      <c r="B39">
        <v>0</v>
      </c>
      <c r="C39" t="s">
        <v>1</v>
      </c>
      <c r="D39">
        <v>2</v>
      </c>
      <c r="E39">
        <v>12154</v>
      </c>
      <c r="F39" t="b">
        <v>1</v>
      </c>
    </row>
    <row r="40" spans="1:13" x14ac:dyDescent="0.25">
      <c r="A40">
        <v>66</v>
      </c>
      <c r="B40">
        <v>0</v>
      </c>
      <c r="C40" t="s">
        <v>2</v>
      </c>
      <c r="D40">
        <v>0</v>
      </c>
      <c r="E40">
        <v>9507</v>
      </c>
      <c r="F40" t="b">
        <v>1</v>
      </c>
      <c r="I40" t="s">
        <v>9</v>
      </c>
    </row>
    <row r="41" spans="1:13" x14ac:dyDescent="0.25">
      <c r="A41">
        <v>67</v>
      </c>
      <c r="B41">
        <v>0</v>
      </c>
      <c r="C41" t="s">
        <v>2</v>
      </c>
      <c r="D41">
        <v>0</v>
      </c>
      <c r="E41">
        <v>6921</v>
      </c>
      <c r="F41" t="b">
        <v>1</v>
      </c>
      <c r="J41" t="s">
        <v>3</v>
      </c>
      <c r="K41" t="s">
        <v>4</v>
      </c>
      <c r="L41" t="s">
        <v>5</v>
      </c>
      <c r="M41" t="s">
        <v>6</v>
      </c>
    </row>
    <row r="42" spans="1:13" x14ac:dyDescent="0.25">
      <c r="A42">
        <v>68</v>
      </c>
      <c r="B42">
        <v>0</v>
      </c>
      <c r="C42" t="s">
        <v>2</v>
      </c>
      <c r="D42">
        <v>1</v>
      </c>
      <c r="E42">
        <v>12004</v>
      </c>
      <c r="F42" t="b">
        <v>1</v>
      </c>
      <c r="I42" t="s">
        <v>10</v>
      </c>
      <c r="J42">
        <f>STDEV($E$1,$E$4,$E$7,$E$10,$E$13,$E$16,$E$19,$E$22,$E$25,$E$28,$E$29,$E$34:$E$35,$E$40:$E$41,$E$46:$E$47,$E$52:$E$53,$E$58:$E$59)</f>
        <v>16606.810940523341</v>
      </c>
      <c r="K42">
        <f>STDEV($E$64,$E$67,$E$70,$E$73,$E$76,$E$79,$E$82,$E$85,$E$88,$E$91:$E$92,$E$97:$E$98,$E$103:$E$104,$E$109:$E$110,$E$115:$E$116,$E$121:$E$122)</f>
        <v>4906.0214692908603</v>
      </c>
      <c r="L42">
        <f>STDEV($E$127,$E$130,$E$133,$E$136,$E$139,$E$142,$E$145,$E$148,$E$151,$E$154:$E$155,$E$160:$E$161,$E$166:$E$167,$E$172:$E$173,$E$178:$E$179,$E$184:$E$185)</f>
        <v>12387.841116729474</v>
      </c>
      <c r="M42">
        <f>STDEV($E$190,$E$193,$E$196,$E$199,$E$202,$E$205,$E$208,$E$211,$E$214,$E$217:$E$218,$E$223:$E$224,$E$229:$E$230,$E$235:$E$236,$E$241:$E$242,$E$247:$E$248)</f>
        <v>12576.197770277902</v>
      </c>
    </row>
    <row r="43" spans="1:13" x14ac:dyDescent="0.25">
      <c r="A43">
        <v>69</v>
      </c>
      <c r="B43">
        <v>0</v>
      </c>
      <c r="C43" t="s">
        <v>2</v>
      </c>
      <c r="D43">
        <v>1</v>
      </c>
      <c r="E43">
        <v>6810</v>
      </c>
      <c r="F43" t="b">
        <v>1</v>
      </c>
      <c r="I43" t="s">
        <v>11</v>
      </c>
      <c r="J43">
        <f>STDEV($E$2,$E$5,$E$8,$E$11,$E$14,$E$17,$E$20,$E$23,$E$26,$E$30,$E$31,$E$36:$E$37,$E$42:$E$43,$E$48:$E$49,$E$54:$E$55,$E$60:$E$61)</f>
        <v>17456.084476002437</v>
      </c>
      <c r="K43">
        <f>STDEV($E$65,$E$68,$E$71,$E$74,$E$77,$E$80,$E$83,$E$86,$E$89,$E$93:$E$94,$E$99:$E$100,$E$105:$E$106,$E$111:$E$112,$E$117:$E$118,$E$123:$E$124)</f>
        <v>10844.304911532399</v>
      </c>
      <c r="L43">
        <f>STDEV($E$128,$E$131,$E$134,$E$137,$E$140,$E$143,$E$146,$E$149,$E$152,$E$156:$E$157,$E$162:$E$163,$E$168:$E$169,$E$174:$E$175,$E$180:$E$181,$E$186:$E$187)</f>
        <v>7420.4492012019773</v>
      </c>
      <c r="M43">
        <f>STDEV($E$191,$E$194,$E$197,$E$200,$E$203,$E$206,$E$209,$E$212,$E$215,$E$219:$E$220,$E$225:$E$226,$E$231:$E$232,$E$237:$E$238,$E$243:$E$244,$E$249:$E$250)</f>
        <v>8927.0460762571984</v>
      </c>
    </row>
    <row r="44" spans="1:13" x14ac:dyDescent="0.25">
      <c r="A44">
        <v>70</v>
      </c>
      <c r="B44">
        <v>0</v>
      </c>
      <c r="C44" t="s">
        <v>2</v>
      </c>
      <c r="D44">
        <v>2</v>
      </c>
      <c r="E44">
        <v>6482</v>
      </c>
      <c r="F44" t="b">
        <v>1</v>
      </c>
      <c r="I44" t="s">
        <v>12</v>
      </c>
      <c r="J44">
        <f>STDEV($E$3,$E$6,$E$9,$E$12,$E$15,$E$18,$E$21,$E$24,$E$27,$E$32,$E$33,$E$38:$E$39,$E$44:$E$45,$E$50:$E$51,$E$56:$E$57,$E$62:$E$63)</f>
        <v>5481.6374521800381</v>
      </c>
      <c r="K44">
        <f>STDEV($E$66,$E$69,$E$72,$E$75,$E$78,$E$81,$E$84,$E$87,$E$90,$E$95:$E$96,$E$101:$E$102,$E$107:$E$108,$E$113:$E$114,$E$119:$E$120,$E$125:$E$126)</f>
        <v>10857.043228333614</v>
      </c>
      <c r="L44">
        <f>STDEV($E$129,$E$132,$E$135,$E$138,$E$141,$E$144,$E$147,$E$150,$E$153,$E$158:$E$159,$E$164:$E$165,$E$170:$E$171,$E$176:$E$177,$E$182:$E$183,$E$188:$E$189)</f>
        <v>7695.8748439852961</v>
      </c>
      <c r="M44">
        <f>STDEV($E$192,$E$195,$E$198,$E$201,$E$204,$E$207,$E$210,$E$213,$E$216,$E$221:$E$222,$E$227:$E$228,$E$233:$E$234,$E$239:$E$240,$E$245:$E$246,$E$251:$E$252)</f>
        <v>10228.680083354795</v>
      </c>
    </row>
    <row r="45" spans="1:13" x14ac:dyDescent="0.25">
      <c r="A45">
        <v>71</v>
      </c>
      <c r="B45">
        <v>0</v>
      </c>
      <c r="C45" t="s">
        <v>2</v>
      </c>
      <c r="D45">
        <v>2</v>
      </c>
      <c r="E45">
        <v>7226</v>
      </c>
      <c r="F45" t="b">
        <v>1</v>
      </c>
    </row>
    <row r="46" spans="1:13" x14ac:dyDescent="0.25">
      <c r="A46">
        <v>0</v>
      </c>
      <c r="B46">
        <v>0</v>
      </c>
      <c r="C46" t="s">
        <v>0</v>
      </c>
      <c r="D46">
        <v>0</v>
      </c>
      <c r="E46">
        <v>24128</v>
      </c>
      <c r="F46" t="b">
        <v>1</v>
      </c>
    </row>
    <row r="47" spans="1:13" x14ac:dyDescent="0.25">
      <c r="A47">
        <v>1</v>
      </c>
      <c r="B47">
        <v>0</v>
      </c>
      <c r="C47" t="s">
        <v>0</v>
      </c>
      <c r="D47">
        <v>0</v>
      </c>
      <c r="E47" s="1">
        <v>34154</v>
      </c>
      <c r="F47" t="b">
        <v>1</v>
      </c>
    </row>
    <row r="48" spans="1:13" x14ac:dyDescent="0.25">
      <c r="A48">
        <v>2</v>
      </c>
      <c r="B48">
        <v>0</v>
      </c>
      <c r="C48" t="s">
        <v>0</v>
      </c>
      <c r="D48">
        <v>1</v>
      </c>
      <c r="E48" s="1">
        <v>38170</v>
      </c>
      <c r="F48" t="b">
        <v>1</v>
      </c>
    </row>
    <row r="49" spans="1:6" x14ac:dyDescent="0.25">
      <c r="A49">
        <v>3</v>
      </c>
      <c r="B49">
        <v>0</v>
      </c>
      <c r="C49" t="s">
        <v>0</v>
      </c>
      <c r="D49">
        <v>1</v>
      </c>
      <c r="E49" s="1">
        <v>77305</v>
      </c>
      <c r="F49" t="b">
        <v>1</v>
      </c>
    </row>
    <row r="50" spans="1:6" x14ac:dyDescent="0.25">
      <c r="A50">
        <v>4</v>
      </c>
      <c r="B50">
        <v>0</v>
      </c>
      <c r="C50" t="s">
        <v>0</v>
      </c>
      <c r="D50">
        <v>2</v>
      </c>
      <c r="E50">
        <v>20050</v>
      </c>
      <c r="F50" t="b">
        <v>1</v>
      </c>
    </row>
    <row r="51" spans="1:6" x14ac:dyDescent="0.25">
      <c r="A51">
        <v>5</v>
      </c>
      <c r="B51">
        <v>0</v>
      </c>
      <c r="C51" t="s">
        <v>0</v>
      </c>
      <c r="D51">
        <v>2</v>
      </c>
      <c r="E51">
        <v>24610</v>
      </c>
      <c r="F51" t="b">
        <v>1</v>
      </c>
    </row>
    <row r="52" spans="1:6" x14ac:dyDescent="0.25">
      <c r="A52">
        <v>6</v>
      </c>
      <c r="B52">
        <v>0</v>
      </c>
      <c r="C52" t="s">
        <v>1</v>
      </c>
      <c r="D52">
        <v>0</v>
      </c>
      <c r="E52">
        <v>20090</v>
      </c>
      <c r="F52" t="b">
        <v>1</v>
      </c>
    </row>
    <row r="53" spans="1:6" x14ac:dyDescent="0.25">
      <c r="A53">
        <v>7</v>
      </c>
      <c r="B53">
        <v>0</v>
      </c>
      <c r="C53" t="s">
        <v>1</v>
      </c>
      <c r="D53">
        <v>0</v>
      </c>
      <c r="E53">
        <v>23602</v>
      </c>
      <c r="F53" t="b">
        <v>1</v>
      </c>
    </row>
    <row r="54" spans="1:6" x14ac:dyDescent="0.25">
      <c r="A54">
        <v>8</v>
      </c>
      <c r="B54">
        <v>0</v>
      </c>
      <c r="C54" t="s">
        <v>1</v>
      </c>
      <c r="D54">
        <v>1</v>
      </c>
      <c r="E54">
        <v>8980</v>
      </c>
      <c r="F54" t="b">
        <v>1</v>
      </c>
    </row>
    <row r="55" spans="1:6" x14ac:dyDescent="0.25">
      <c r="A55">
        <v>9</v>
      </c>
      <c r="B55">
        <v>0</v>
      </c>
      <c r="C55" t="s">
        <v>1</v>
      </c>
      <c r="D55">
        <v>1</v>
      </c>
      <c r="E55" s="1">
        <v>44731</v>
      </c>
      <c r="F55" t="b">
        <v>1</v>
      </c>
    </row>
    <row r="56" spans="1:6" x14ac:dyDescent="0.25">
      <c r="A56">
        <v>10</v>
      </c>
      <c r="B56">
        <v>0</v>
      </c>
      <c r="C56" t="s">
        <v>1</v>
      </c>
      <c r="D56">
        <v>2</v>
      </c>
      <c r="E56">
        <v>25082</v>
      </c>
      <c r="F56" t="b">
        <v>1</v>
      </c>
    </row>
    <row r="57" spans="1:6" x14ac:dyDescent="0.25">
      <c r="A57">
        <v>11</v>
      </c>
      <c r="B57">
        <v>0</v>
      </c>
      <c r="C57" t="s">
        <v>1</v>
      </c>
      <c r="D57">
        <v>2</v>
      </c>
      <c r="E57">
        <v>11843</v>
      </c>
      <c r="F57" t="b">
        <v>1</v>
      </c>
    </row>
    <row r="58" spans="1:6" x14ac:dyDescent="0.25">
      <c r="A58">
        <v>12</v>
      </c>
      <c r="B58">
        <v>0</v>
      </c>
      <c r="C58" t="s">
        <v>2</v>
      </c>
      <c r="D58">
        <v>0</v>
      </c>
      <c r="E58">
        <v>26138</v>
      </c>
      <c r="F58" t="b">
        <v>1</v>
      </c>
    </row>
    <row r="59" spans="1:6" x14ac:dyDescent="0.25">
      <c r="A59">
        <v>13</v>
      </c>
      <c r="B59">
        <v>0</v>
      </c>
      <c r="C59" t="s">
        <v>2</v>
      </c>
      <c r="D59">
        <v>0</v>
      </c>
      <c r="E59">
        <v>19138</v>
      </c>
      <c r="F59" t="b">
        <v>1</v>
      </c>
    </row>
    <row r="60" spans="1:6" x14ac:dyDescent="0.25">
      <c r="A60">
        <v>14</v>
      </c>
      <c r="B60">
        <v>0</v>
      </c>
      <c r="C60" t="s">
        <v>2</v>
      </c>
      <c r="D60">
        <v>1</v>
      </c>
      <c r="E60">
        <v>17746</v>
      </c>
      <c r="F60" t="b">
        <v>1</v>
      </c>
    </row>
    <row r="61" spans="1:6" x14ac:dyDescent="0.25">
      <c r="A61">
        <v>15</v>
      </c>
      <c r="B61">
        <v>0</v>
      </c>
      <c r="C61" t="s">
        <v>2</v>
      </c>
      <c r="D61">
        <v>1</v>
      </c>
      <c r="E61">
        <v>19106</v>
      </c>
      <c r="F61" t="b">
        <v>1</v>
      </c>
    </row>
    <row r="62" spans="1:6" x14ac:dyDescent="0.25">
      <c r="A62">
        <v>16</v>
      </c>
      <c r="B62">
        <v>0</v>
      </c>
      <c r="C62" t="s">
        <v>2</v>
      </c>
      <c r="D62">
        <v>2</v>
      </c>
      <c r="E62">
        <v>8762</v>
      </c>
      <c r="F62" t="b">
        <v>1</v>
      </c>
    </row>
    <row r="63" spans="1:6" x14ac:dyDescent="0.25">
      <c r="A63">
        <v>17</v>
      </c>
      <c r="B63">
        <v>0</v>
      </c>
      <c r="C63" t="s">
        <v>2</v>
      </c>
      <c r="D63">
        <v>2</v>
      </c>
      <c r="E63">
        <v>13915</v>
      </c>
      <c r="F63" t="b">
        <v>1</v>
      </c>
    </row>
    <row r="64" spans="1:6" x14ac:dyDescent="0.25">
      <c r="A64">
        <v>0</v>
      </c>
      <c r="B64">
        <v>1</v>
      </c>
      <c r="C64" t="s">
        <v>0</v>
      </c>
      <c r="D64">
        <v>0</v>
      </c>
      <c r="E64">
        <v>11851</v>
      </c>
      <c r="F64" t="b">
        <v>1</v>
      </c>
    </row>
    <row r="65" spans="1:6" x14ac:dyDescent="0.25">
      <c r="A65">
        <v>1</v>
      </c>
      <c r="B65">
        <v>1</v>
      </c>
      <c r="C65" t="s">
        <v>0</v>
      </c>
      <c r="D65">
        <v>1</v>
      </c>
      <c r="E65">
        <v>8871</v>
      </c>
      <c r="F65" t="b">
        <v>1</v>
      </c>
    </row>
    <row r="66" spans="1:6" x14ac:dyDescent="0.25">
      <c r="A66">
        <v>2</v>
      </c>
      <c r="B66">
        <v>1</v>
      </c>
      <c r="C66" t="s">
        <v>0</v>
      </c>
      <c r="D66">
        <v>2</v>
      </c>
      <c r="E66">
        <v>5722</v>
      </c>
      <c r="F66" t="b">
        <v>1</v>
      </c>
    </row>
    <row r="67" spans="1:6" x14ac:dyDescent="0.25">
      <c r="A67">
        <v>3</v>
      </c>
      <c r="B67">
        <v>1</v>
      </c>
      <c r="C67" t="s">
        <v>1</v>
      </c>
      <c r="D67">
        <v>0</v>
      </c>
      <c r="E67">
        <v>8423</v>
      </c>
      <c r="F67" t="b">
        <v>1</v>
      </c>
    </row>
    <row r="68" spans="1:6" x14ac:dyDescent="0.25">
      <c r="A68">
        <v>4</v>
      </c>
      <c r="B68">
        <v>1</v>
      </c>
      <c r="C68" t="s">
        <v>1</v>
      </c>
      <c r="D68">
        <v>1</v>
      </c>
      <c r="E68">
        <v>7859</v>
      </c>
      <c r="F68" t="b">
        <v>1</v>
      </c>
    </row>
    <row r="69" spans="1:6" x14ac:dyDescent="0.25">
      <c r="A69">
        <v>5</v>
      </c>
      <c r="B69">
        <v>1</v>
      </c>
      <c r="C69" t="s">
        <v>1</v>
      </c>
      <c r="D69">
        <v>2</v>
      </c>
      <c r="E69">
        <v>8023</v>
      </c>
      <c r="F69" t="b">
        <v>1</v>
      </c>
    </row>
    <row r="70" spans="1:6" x14ac:dyDescent="0.25">
      <c r="A70">
        <v>6</v>
      </c>
      <c r="B70">
        <v>1</v>
      </c>
      <c r="C70" t="s">
        <v>2</v>
      </c>
      <c r="D70">
        <v>0</v>
      </c>
      <c r="E70">
        <v>6323</v>
      </c>
      <c r="F70" t="b">
        <v>1</v>
      </c>
    </row>
    <row r="71" spans="1:6" x14ac:dyDescent="0.25">
      <c r="A71">
        <v>7</v>
      </c>
      <c r="B71">
        <v>1</v>
      </c>
      <c r="C71" t="s">
        <v>2</v>
      </c>
      <c r="D71">
        <v>1</v>
      </c>
      <c r="E71">
        <v>7178</v>
      </c>
      <c r="F71" t="b">
        <v>1</v>
      </c>
    </row>
    <row r="72" spans="1:6" x14ac:dyDescent="0.25">
      <c r="A72">
        <v>8</v>
      </c>
      <c r="B72">
        <v>1</v>
      </c>
      <c r="C72" t="s">
        <v>2</v>
      </c>
      <c r="D72">
        <v>2</v>
      </c>
      <c r="E72">
        <v>5641</v>
      </c>
      <c r="F72" t="b">
        <v>1</v>
      </c>
    </row>
    <row r="73" spans="1:6" x14ac:dyDescent="0.25">
      <c r="A73">
        <v>0</v>
      </c>
      <c r="B73">
        <v>1</v>
      </c>
      <c r="C73" t="s">
        <v>0</v>
      </c>
      <c r="D73">
        <v>0</v>
      </c>
      <c r="E73">
        <v>8795</v>
      </c>
      <c r="F73" t="b">
        <v>1</v>
      </c>
    </row>
    <row r="74" spans="1:6" x14ac:dyDescent="0.25">
      <c r="A74">
        <v>1</v>
      </c>
      <c r="B74">
        <v>1</v>
      </c>
      <c r="C74" t="s">
        <v>0</v>
      </c>
      <c r="D74">
        <v>1</v>
      </c>
      <c r="E74">
        <v>6937</v>
      </c>
      <c r="F74" t="b">
        <v>1</v>
      </c>
    </row>
    <row r="75" spans="1:6" x14ac:dyDescent="0.25">
      <c r="A75">
        <v>2</v>
      </c>
      <c r="B75">
        <v>1</v>
      </c>
      <c r="C75" t="s">
        <v>0</v>
      </c>
      <c r="D75">
        <v>2</v>
      </c>
      <c r="E75">
        <v>11060</v>
      </c>
      <c r="F75" t="b">
        <v>1</v>
      </c>
    </row>
    <row r="76" spans="1:6" x14ac:dyDescent="0.25">
      <c r="A76">
        <v>3</v>
      </c>
      <c r="B76">
        <v>1</v>
      </c>
      <c r="C76" t="s">
        <v>1</v>
      </c>
      <c r="D76">
        <v>0</v>
      </c>
      <c r="E76">
        <v>5938</v>
      </c>
      <c r="F76" t="b">
        <v>1</v>
      </c>
    </row>
    <row r="77" spans="1:6" x14ac:dyDescent="0.25">
      <c r="A77">
        <v>4</v>
      </c>
      <c r="B77">
        <v>1</v>
      </c>
      <c r="C77" t="s">
        <v>1</v>
      </c>
      <c r="D77">
        <v>1</v>
      </c>
      <c r="E77">
        <v>2933</v>
      </c>
      <c r="F77" t="b">
        <v>1</v>
      </c>
    </row>
    <row r="78" spans="1:6" x14ac:dyDescent="0.25">
      <c r="A78">
        <v>5</v>
      </c>
      <c r="B78">
        <v>1</v>
      </c>
      <c r="C78" t="s">
        <v>1</v>
      </c>
      <c r="D78">
        <v>2</v>
      </c>
      <c r="E78" s="1">
        <v>25961</v>
      </c>
      <c r="F78" t="b">
        <v>1</v>
      </c>
    </row>
    <row r="79" spans="1:6" x14ac:dyDescent="0.25">
      <c r="A79">
        <v>6</v>
      </c>
      <c r="B79">
        <v>1</v>
      </c>
      <c r="C79" t="s">
        <v>2</v>
      </c>
      <c r="D79">
        <v>0</v>
      </c>
      <c r="E79">
        <v>9474</v>
      </c>
      <c r="F79" t="b">
        <v>1</v>
      </c>
    </row>
    <row r="80" spans="1:6" x14ac:dyDescent="0.25">
      <c r="A80">
        <v>7</v>
      </c>
      <c r="B80">
        <v>1</v>
      </c>
      <c r="C80" t="s">
        <v>2</v>
      </c>
      <c r="D80">
        <v>1</v>
      </c>
      <c r="E80">
        <v>4745</v>
      </c>
      <c r="F80" t="b">
        <v>1</v>
      </c>
    </row>
    <row r="81" spans="1:6" x14ac:dyDescent="0.25">
      <c r="A81">
        <v>8</v>
      </c>
      <c r="B81">
        <v>1</v>
      </c>
      <c r="C81" t="s">
        <v>2</v>
      </c>
      <c r="D81">
        <v>2</v>
      </c>
      <c r="E81">
        <v>6289</v>
      </c>
      <c r="F81" t="b">
        <v>0</v>
      </c>
    </row>
    <row r="82" spans="1:6" x14ac:dyDescent="0.25">
      <c r="A82">
        <v>27</v>
      </c>
      <c r="B82">
        <v>1</v>
      </c>
      <c r="C82" t="s">
        <v>0</v>
      </c>
      <c r="D82">
        <v>0</v>
      </c>
      <c r="E82">
        <v>18370</v>
      </c>
      <c r="F82" t="b">
        <v>1</v>
      </c>
    </row>
    <row r="83" spans="1:6" x14ac:dyDescent="0.25">
      <c r="A83">
        <v>28</v>
      </c>
      <c r="B83">
        <v>1</v>
      </c>
      <c r="C83" t="s">
        <v>0</v>
      </c>
      <c r="D83">
        <v>1</v>
      </c>
      <c r="E83">
        <v>10419</v>
      </c>
      <c r="F83" t="b">
        <v>1</v>
      </c>
    </row>
    <row r="84" spans="1:6" x14ac:dyDescent="0.25">
      <c r="A84">
        <v>29</v>
      </c>
      <c r="B84">
        <v>1</v>
      </c>
      <c r="C84" t="s">
        <v>0</v>
      </c>
      <c r="D84">
        <v>2</v>
      </c>
      <c r="E84">
        <v>17200</v>
      </c>
      <c r="F84" t="b">
        <v>1</v>
      </c>
    </row>
    <row r="85" spans="1:6" x14ac:dyDescent="0.25">
      <c r="A85">
        <v>30</v>
      </c>
      <c r="B85">
        <v>1</v>
      </c>
      <c r="C85" t="s">
        <v>1</v>
      </c>
      <c r="D85">
        <v>0</v>
      </c>
      <c r="E85">
        <v>6728</v>
      </c>
      <c r="F85" t="b">
        <v>1</v>
      </c>
    </row>
    <row r="86" spans="1:6" x14ac:dyDescent="0.25">
      <c r="A86">
        <v>31</v>
      </c>
      <c r="B86">
        <v>1</v>
      </c>
      <c r="C86" t="s">
        <v>1</v>
      </c>
      <c r="D86">
        <v>1</v>
      </c>
      <c r="E86">
        <v>23983</v>
      </c>
      <c r="F86" t="b">
        <v>1</v>
      </c>
    </row>
    <row r="87" spans="1:6" x14ac:dyDescent="0.25">
      <c r="A87">
        <v>32</v>
      </c>
      <c r="B87">
        <v>1</v>
      </c>
      <c r="C87" t="s">
        <v>1</v>
      </c>
      <c r="D87">
        <v>2</v>
      </c>
      <c r="E87" s="1">
        <v>42815</v>
      </c>
      <c r="F87" t="b">
        <v>1</v>
      </c>
    </row>
    <row r="88" spans="1:6" x14ac:dyDescent="0.25">
      <c r="A88">
        <v>33</v>
      </c>
      <c r="B88">
        <v>1</v>
      </c>
      <c r="C88" t="s">
        <v>2</v>
      </c>
      <c r="D88">
        <v>0</v>
      </c>
      <c r="E88">
        <v>7649</v>
      </c>
      <c r="F88" t="b">
        <v>1</v>
      </c>
    </row>
    <row r="89" spans="1:6" x14ac:dyDescent="0.25">
      <c r="A89">
        <v>34</v>
      </c>
      <c r="B89">
        <v>1</v>
      </c>
      <c r="C89" t="s">
        <v>2</v>
      </c>
      <c r="D89">
        <v>1</v>
      </c>
      <c r="E89">
        <v>12887</v>
      </c>
      <c r="F89" t="b">
        <v>1</v>
      </c>
    </row>
    <row r="90" spans="1:6" x14ac:dyDescent="0.25">
      <c r="A90">
        <v>35</v>
      </c>
      <c r="B90">
        <v>1</v>
      </c>
      <c r="C90" t="s">
        <v>2</v>
      </c>
      <c r="D90">
        <v>2</v>
      </c>
      <c r="E90">
        <v>7561</v>
      </c>
      <c r="F90" t="b">
        <v>1</v>
      </c>
    </row>
    <row r="91" spans="1:6" x14ac:dyDescent="0.25">
      <c r="A91">
        <v>36</v>
      </c>
      <c r="B91">
        <v>1</v>
      </c>
      <c r="C91" t="s">
        <v>0</v>
      </c>
      <c r="D91">
        <v>0</v>
      </c>
      <c r="E91">
        <v>14487</v>
      </c>
      <c r="F91" t="b">
        <v>1</v>
      </c>
    </row>
    <row r="92" spans="1:6" x14ac:dyDescent="0.25">
      <c r="A92">
        <v>37</v>
      </c>
      <c r="B92">
        <v>1</v>
      </c>
      <c r="C92" t="s">
        <v>0</v>
      </c>
      <c r="D92">
        <v>0</v>
      </c>
      <c r="E92">
        <v>9385</v>
      </c>
      <c r="F92" t="b">
        <v>1</v>
      </c>
    </row>
    <row r="93" spans="1:6" x14ac:dyDescent="0.25">
      <c r="A93">
        <v>38</v>
      </c>
      <c r="B93">
        <v>1</v>
      </c>
      <c r="C93" t="s">
        <v>0</v>
      </c>
      <c r="D93">
        <v>1</v>
      </c>
      <c r="E93">
        <v>11319</v>
      </c>
      <c r="F93" t="b">
        <v>1</v>
      </c>
    </row>
    <row r="94" spans="1:6" x14ac:dyDescent="0.25">
      <c r="A94">
        <v>39</v>
      </c>
      <c r="B94">
        <v>1</v>
      </c>
      <c r="C94" t="s">
        <v>0</v>
      </c>
      <c r="D94">
        <v>1</v>
      </c>
      <c r="E94">
        <v>26839</v>
      </c>
      <c r="F94" t="b">
        <v>1</v>
      </c>
    </row>
    <row r="95" spans="1:6" x14ac:dyDescent="0.25">
      <c r="A95">
        <v>40</v>
      </c>
      <c r="B95">
        <v>1</v>
      </c>
      <c r="C95" t="s">
        <v>0</v>
      </c>
      <c r="D95">
        <v>2</v>
      </c>
      <c r="E95">
        <v>7218</v>
      </c>
      <c r="F95" t="b">
        <v>1</v>
      </c>
    </row>
    <row r="96" spans="1:6" x14ac:dyDescent="0.25">
      <c r="A96">
        <v>41</v>
      </c>
      <c r="B96">
        <v>1</v>
      </c>
      <c r="C96" t="s">
        <v>0</v>
      </c>
      <c r="D96">
        <v>2</v>
      </c>
      <c r="E96">
        <v>13879</v>
      </c>
      <c r="F96" t="b">
        <v>1</v>
      </c>
    </row>
    <row r="97" spans="1:6" x14ac:dyDescent="0.25">
      <c r="A97">
        <v>42</v>
      </c>
      <c r="B97">
        <v>1</v>
      </c>
      <c r="C97" t="s">
        <v>1</v>
      </c>
      <c r="D97">
        <v>0</v>
      </c>
      <c r="E97">
        <v>11679</v>
      </c>
      <c r="F97" t="b">
        <v>1</v>
      </c>
    </row>
    <row r="98" spans="1:6" x14ac:dyDescent="0.25">
      <c r="A98">
        <v>43</v>
      </c>
      <c r="B98">
        <v>1</v>
      </c>
      <c r="C98" t="s">
        <v>1</v>
      </c>
      <c r="D98">
        <v>0</v>
      </c>
      <c r="E98">
        <v>7440</v>
      </c>
      <c r="F98" t="b">
        <v>1</v>
      </c>
    </row>
    <row r="99" spans="1:6" x14ac:dyDescent="0.25">
      <c r="A99">
        <v>44</v>
      </c>
      <c r="B99">
        <v>1</v>
      </c>
      <c r="C99" t="s">
        <v>1</v>
      </c>
      <c r="D99">
        <v>1</v>
      </c>
      <c r="E99">
        <v>6535</v>
      </c>
      <c r="F99" t="b">
        <v>1</v>
      </c>
    </row>
    <row r="100" spans="1:6" x14ac:dyDescent="0.25">
      <c r="A100">
        <v>45</v>
      </c>
      <c r="B100">
        <v>1</v>
      </c>
      <c r="C100" t="s">
        <v>1</v>
      </c>
      <c r="D100">
        <v>1</v>
      </c>
      <c r="E100">
        <v>14267</v>
      </c>
      <c r="F100" t="b">
        <v>1</v>
      </c>
    </row>
    <row r="101" spans="1:6" x14ac:dyDescent="0.25">
      <c r="A101">
        <v>46</v>
      </c>
      <c r="B101">
        <v>1</v>
      </c>
      <c r="C101" t="s">
        <v>1</v>
      </c>
      <c r="D101">
        <v>2</v>
      </c>
      <c r="E101">
        <v>9056</v>
      </c>
      <c r="F101" t="b">
        <v>1</v>
      </c>
    </row>
    <row r="102" spans="1:6" x14ac:dyDescent="0.25">
      <c r="A102">
        <v>47</v>
      </c>
      <c r="B102">
        <v>1</v>
      </c>
      <c r="C102" t="s">
        <v>1</v>
      </c>
      <c r="D102">
        <v>2</v>
      </c>
      <c r="E102">
        <v>9416</v>
      </c>
      <c r="F102" t="b">
        <v>1</v>
      </c>
    </row>
    <row r="103" spans="1:6" x14ac:dyDescent="0.25">
      <c r="A103">
        <v>48</v>
      </c>
      <c r="B103">
        <v>1</v>
      </c>
      <c r="C103" t="s">
        <v>2</v>
      </c>
      <c r="D103">
        <v>0</v>
      </c>
      <c r="E103">
        <v>5419</v>
      </c>
      <c r="F103" t="b">
        <v>1</v>
      </c>
    </row>
    <row r="104" spans="1:6" x14ac:dyDescent="0.25">
      <c r="A104">
        <v>49</v>
      </c>
      <c r="B104">
        <v>1</v>
      </c>
      <c r="C104" t="s">
        <v>2</v>
      </c>
      <c r="D104">
        <v>0</v>
      </c>
      <c r="E104">
        <v>6473</v>
      </c>
      <c r="F104" t="b">
        <v>1</v>
      </c>
    </row>
    <row r="105" spans="1:6" x14ac:dyDescent="0.25">
      <c r="A105">
        <v>50</v>
      </c>
      <c r="B105">
        <v>1</v>
      </c>
      <c r="C105" t="s">
        <v>2</v>
      </c>
      <c r="D105">
        <v>1</v>
      </c>
      <c r="E105">
        <v>4248</v>
      </c>
      <c r="F105" t="b">
        <v>1</v>
      </c>
    </row>
    <row r="106" spans="1:6" x14ac:dyDescent="0.25">
      <c r="A106">
        <v>51</v>
      </c>
      <c r="B106">
        <v>1</v>
      </c>
      <c r="C106" t="s">
        <v>2</v>
      </c>
      <c r="D106">
        <v>1</v>
      </c>
      <c r="E106">
        <v>6168</v>
      </c>
      <c r="F106" t="b">
        <v>1</v>
      </c>
    </row>
    <row r="107" spans="1:6" x14ac:dyDescent="0.25">
      <c r="A107">
        <v>52</v>
      </c>
      <c r="B107">
        <v>1</v>
      </c>
      <c r="C107" t="s">
        <v>2</v>
      </c>
      <c r="D107">
        <v>2</v>
      </c>
      <c r="E107">
        <v>5440</v>
      </c>
      <c r="F107" t="b">
        <v>1</v>
      </c>
    </row>
    <row r="108" spans="1:6" x14ac:dyDescent="0.25">
      <c r="A108">
        <v>53</v>
      </c>
      <c r="B108">
        <v>1</v>
      </c>
      <c r="C108" t="s">
        <v>2</v>
      </c>
      <c r="D108">
        <v>2</v>
      </c>
      <c r="E108">
        <v>8320</v>
      </c>
      <c r="F108" t="b">
        <v>1</v>
      </c>
    </row>
    <row r="109" spans="1:6" x14ac:dyDescent="0.25">
      <c r="A109">
        <v>18</v>
      </c>
      <c r="B109">
        <v>1</v>
      </c>
      <c r="C109" t="s">
        <v>0</v>
      </c>
      <c r="D109">
        <v>0</v>
      </c>
      <c r="E109">
        <v>18113</v>
      </c>
      <c r="F109" t="b">
        <v>1</v>
      </c>
    </row>
    <row r="110" spans="1:6" x14ac:dyDescent="0.25">
      <c r="A110">
        <v>19</v>
      </c>
      <c r="B110">
        <v>1</v>
      </c>
      <c r="C110" t="s">
        <v>0</v>
      </c>
      <c r="D110">
        <v>0</v>
      </c>
      <c r="E110">
        <v>21566</v>
      </c>
      <c r="F110" t="b">
        <v>1</v>
      </c>
    </row>
    <row r="111" spans="1:6" x14ac:dyDescent="0.25">
      <c r="A111">
        <v>20</v>
      </c>
      <c r="B111">
        <v>1</v>
      </c>
      <c r="C111" t="s">
        <v>0</v>
      </c>
      <c r="D111">
        <v>1</v>
      </c>
      <c r="E111" s="1">
        <v>30360</v>
      </c>
      <c r="F111" t="b">
        <v>1</v>
      </c>
    </row>
    <row r="112" spans="1:6" x14ac:dyDescent="0.25">
      <c r="A112">
        <v>21</v>
      </c>
      <c r="B112">
        <v>1</v>
      </c>
      <c r="C112" t="s">
        <v>0</v>
      </c>
      <c r="D112">
        <v>1</v>
      </c>
      <c r="E112" s="1">
        <v>39920</v>
      </c>
      <c r="F112" t="b">
        <v>1</v>
      </c>
    </row>
    <row r="113" spans="1:6" x14ac:dyDescent="0.25">
      <c r="A113">
        <v>22</v>
      </c>
      <c r="B113">
        <v>1</v>
      </c>
      <c r="C113" t="s">
        <v>0</v>
      </c>
      <c r="D113">
        <v>2</v>
      </c>
      <c r="E113" s="1">
        <v>41379</v>
      </c>
      <c r="F113" t="b">
        <v>1</v>
      </c>
    </row>
    <row r="114" spans="1:6" x14ac:dyDescent="0.25">
      <c r="A114">
        <v>23</v>
      </c>
      <c r="B114">
        <v>1</v>
      </c>
      <c r="C114" t="s">
        <v>0</v>
      </c>
      <c r="D114">
        <v>2</v>
      </c>
      <c r="E114">
        <v>23528</v>
      </c>
      <c r="F114" t="b">
        <v>1</v>
      </c>
    </row>
    <row r="115" spans="1:6" x14ac:dyDescent="0.25">
      <c r="A115">
        <v>24</v>
      </c>
      <c r="B115">
        <v>1</v>
      </c>
      <c r="C115" t="s">
        <v>1</v>
      </c>
      <c r="D115">
        <v>0</v>
      </c>
      <c r="E115">
        <v>7538</v>
      </c>
      <c r="F115" t="b">
        <v>1</v>
      </c>
    </row>
    <row r="116" spans="1:6" x14ac:dyDescent="0.25">
      <c r="A116">
        <v>25</v>
      </c>
      <c r="B116">
        <v>1</v>
      </c>
      <c r="C116" t="s">
        <v>1</v>
      </c>
      <c r="D116">
        <v>0</v>
      </c>
      <c r="E116">
        <v>19493</v>
      </c>
      <c r="F116" t="b">
        <v>1</v>
      </c>
    </row>
    <row r="117" spans="1:6" x14ac:dyDescent="0.25">
      <c r="A117">
        <v>26</v>
      </c>
      <c r="B117">
        <v>1</v>
      </c>
      <c r="C117" t="s">
        <v>1</v>
      </c>
      <c r="D117">
        <v>1</v>
      </c>
      <c r="E117">
        <v>22720</v>
      </c>
      <c r="F117" t="b">
        <v>1</v>
      </c>
    </row>
    <row r="118" spans="1:6" x14ac:dyDescent="0.25">
      <c r="A118">
        <v>27</v>
      </c>
      <c r="B118">
        <v>1</v>
      </c>
      <c r="C118" t="s">
        <v>1</v>
      </c>
      <c r="D118">
        <v>1</v>
      </c>
      <c r="E118">
        <v>14432</v>
      </c>
      <c r="F118" t="b">
        <v>1</v>
      </c>
    </row>
    <row r="119" spans="1:6" x14ac:dyDescent="0.25">
      <c r="A119">
        <v>28</v>
      </c>
      <c r="B119">
        <v>1</v>
      </c>
      <c r="C119" t="s">
        <v>1</v>
      </c>
      <c r="D119">
        <v>2</v>
      </c>
      <c r="E119">
        <v>14888</v>
      </c>
      <c r="F119" t="b">
        <v>1</v>
      </c>
    </row>
    <row r="120" spans="1:6" x14ac:dyDescent="0.25">
      <c r="A120">
        <v>29</v>
      </c>
      <c r="B120">
        <v>1</v>
      </c>
      <c r="C120" t="s">
        <v>1</v>
      </c>
      <c r="D120">
        <v>2</v>
      </c>
      <c r="E120">
        <v>20183</v>
      </c>
      <c r="F120" t="b">
        <v>1</v>
      </c>
    </row>
    <row r="121" spans="1:6" x14ac:dyDescent="0.25">
      <c r="A121">
        <v>30</v>
      </c>
      <c r="B121">
        <v>1</v>
      </c>
      <c r="C121" t="s">
        <v>2</v>
      </c>
      <c r="D121">
        <v>0</v>
      </c>
      <c r="E121">
        <v>7619</v>
      </c>
      <c r="F121" t="b">
        <v>1</v>
      </c>
    </row>
    <row r="122" spans="1:6" x14ac:dyDescent="0.25">
      <c r="A122">
        <v>31</v>
      </c>
      <c r="B122">
        <v>1</v>
      </c>
      <c r="C122" t="s">
        <v>2</v>
      </c>
      <c r="D122">
        <v>0</v>
      </c>
      <c r="E122">
        <v>11568</v>
      </c>
      <c r="F122" t="b">
        <v>1</v>
      </c>
    </row>
    <row r="123" spans="1:6" x14ac:dyDescent="0.25">
      <c r="A123">
        <v>32</v>
      </c>
      <c r="B123">
        <v>1</v>
      </c>
      <c r="C123" t="s">
        <v>2</v>
      </c>
      <c r="D123">
        <v>1</v>
      </c>
      <c r="E123" s="1">
        <v>34159</v>
      </c>
      <c r="F123" t="b">
        <v>1</v>
      </c>
    </row>
    <row r="124" spans="1:6" x14ac:dyDescent="0.25">
      <c r="A124">
        <v>33</v>
      </c>
      <c r="B124">
        <v>1</v>
      </c>
      <c r="C124" t="s">
        <v>2</v>
      </c>
      <c r="D124">
        <v>1</v>
      </c>
      <c r="E124">
        <v>5825</v>
      </c>
      <c r="F124" t="b">
        <v>1</v>
      </c>
    </row>
    <row r="125" spans="1:6" x14ac:dyDescent="0.25">
      <c r="A125">
        <v>34</v>
      </c>
      <c r="B125">
        <v>1</v>
      </c>
      <c r="C125" t="s">
        <v>2</v>
      </c>
      <c r="D125">
        <v>2</v>
      </c>
      <c r="E125">
        <v>16696</v>
      </c>
      <c r="F125" t="b">
        <v>1</v>
      </c>
    </row>
    <row r="126" spans="1:6" x14ac:dyDescent="0.25">
      <c r="A126">
        <v>35</v>
      </c>
      <c r="B126">
        <v>1</v>
      </c>
      <c r="C126" t="s">
        <v>2</v>
      </c>
      <c r="D126">
        <v>2</v>
      </c>
      <c r="E126">
        <v>9681</v>
      </c>
      <c r="F126" t="b">
        <v>1</v>
      </c>
    </row>
    <row r="127" spans="1:6" x14ac:dyDescent="0.25">
      <c r="A127">
        <v>9</v>
      </c>
      <c r="B127">
        <v>2</v>
      </c>
      <c r="C127" t="s">
        <v>0</v>
      </c>
      <c r="D127">
        <v>0</v>
      </c>
      <c r="E127">
        <v>3594</v>
      </c>
      <c r="F127" t="b">
        <v>1</v>
      </c>
    </row>
    <row r="128" spans="1:6" x14ac:dyDescent="0.25">
      <c r="A128">
        <v>10</v>
      </c>
      <c r="B128">
        <v>2</v>
      </c>
      <c r="C128" t="s">
        <v>0</v>
      </c>
      <c r="D128">
        <v>1</v>
      </c>
      <c r="E128">
        <v>20455</v>
      </c>
      <c r="F128" t="b">
        <v>1</v>
      </c>
    </row>
    <row r="129" spans="1:6" x14ac:dyDescent="0.25">
      <c r="A129">
        <v>11</v>
      </c>
      <c r="B129">
        <v>2</v>
      </c>
      <c r="C129" t="s">
        <v>0</v>
      </c>
      <c r="D129">
        <v>2</v>
      </c>
      <c r="E129">
        <v>10039</v>
      </c>
      <c r="F129" t="b">
        <v>1</v>
      </c>
    </row>
    <row r="130" spans="1:6" x14ac:dyDescent="0.25">
      <c r="A130">
        <v>12</v>
      </c>
      <c r="B130">
        <v>2</v>
      </c>
      <c r="C130" t="s">
        <v>1</v>
      </c>
      <c r="D130">
        <v>0</v>
      </c>
      <c r="E130">
        <v>13704</v>
      </c>
      <c r="F130" t="b">
        <v>1</v>
      </c>
    </row>
    <row r="131" spans="1:6" x14ac:dyDescent="0.25">
      <c r="A131">
        <v>13</v>
      </c>
      <c r="B131">
        <v>2</v>
      </c>
      <c r="C131" t="s">
        <v>1</v>
      </c>
      <c r="D131">
        <v>1</v>
      </c>
      <c r="E131">
        <v>16619</v>
      </c>
      <c r="F131" t="b">
        <v>1</v>
      </c>
    </row>
    <row r="132" spans="1:6" x14ac:dyDescent="0.25">
      <c r="A132">
        <v>14</v>
      </c>
      <c r="B132">
        <v>2</v>
      </c>
      <c r="C132" t="s">
        <v>1</v>
      </c>
      <c r="D132">
        <v>2</v>
      </c>
      <c r="E132">
        <v>8698</v>
      </c>
      <c r="F132" t="b">
        <v>1</v>
      </c>
    </row>
    <row r="133" spans="1:6" x14ac:dyDescent="0.25">
      <c r="A133">
        <v>15</v>
      </c>
      <c r="B133">
        <v>2</v>
      </c>
      <c r="C133" t="s">
        <v>2</v>
      </c>
      <c r="D133">
        <v>0</v>
      </c>
      <c r="E133">
        <v>13076</v>
      </c>
      <c r="F133" t="b">
        <v>0</v>
      </c>
    </row>
    <row r="134" spans="1:6" x14ac:dyDescent="0.25">
      <c r="A134">
        <v>16</v>
      </c>
      <c r="B134">
        <v>2</v>
      </c>
      <c r="C134" t="s">
        <v>2</v>
      </c>
      <c r="D134">
        <v>1</v>
      </c>
      <c r="E134">
        <v>10391</v>
      </c>
      <c r="F134" t="b">
        <v>1</v>
      </c>
    </row>
    <row r="135" spans="1:6" x14ac:dyDescent="0.25">
      <c r="A135">
        <v>17</v>
      </c>
      <c r="B135">
        <v>2</v>
      </c>
      <c r="C135" t="s">
        <v>2</v>
      </c>
      <c r="D135">
        <v>2</v>
      </c>
      <c r="E135">
        <v>10005</v>
      </c>
      <c r="F135" t="b">
        <v>0</v>
      </c>
    </row>
    <row r="136" spans="1:6" x14ac:dyDescent="0.25">
      <c r="A136">
        <v>9</v>
      </c>
      <c r="B136">
        <v>2</v>
      </c>
      <c r="C136" t="s">
        <v>0</v>
      </c>
      <c r="D136">
        <v>0</v>
      </c>
      <c r="E136">
        <v>9236</v>
      </c>
      <c r="F136" t="b">
        <v>1</v>
      </c>
    </row>
    <row r="137" spans="1:6" x14ac:dyDescent="0.25">
      <c r="A137">
        <v>10</v>
      </c>
      <c r="B137">
        <v>2</v>
      </c>
      <c r="C137" t="s">
        <v>0</v>
      </c>
      <c r="D137">
        <v>1</v>
      </c>
      <c r="E137">
        <v>15478</v>
      </c>
      <c r="F137" t="b">
        <v>1</v>
      </c>
    </row>
    <row r="138" spans="1:6" x14ac:dyDescent="0.25">
      <c r="A138">
        <v>11</v>
      </c>
      <c r="B138">
        <v>2</v>
      </c>
      <c r="C138" t="s">
        <v>0</v>
      </c>
      <c r="D138">
        <v>2</v>
      </c>
      <c r="E138">
        <v>12681</v>
      </c>
      <c r="F138" t="b">
        <v>1</v>
      </c>
    </row>
    <row r="139" spans="1:6" x14ac:dyDescent="0.25">
      <c r="A139">
        <v>12</v>
      </c>
      <c r="B139">
        <v>2</v>
      </c>
      <c r="C139" t="s">
        <v>1</v>
      </c>
      <c r="D139">
        <v>0</v>
      </c>
      <c r="E139">
        <v>2588</v>
      </c>
      <c r="F139" t="b">
        <v>1</v>
      </c>
    </row>
    <row r="140" spans="1:6" x14ac:dyDescent="0.25">
      <c r="A140">
        <v>13</v>
      </c>
      <c r="B140">
        <v>2</v>
      </c>
      <c r="C140" t="s">
        <v>1</v>
      </c>
      <c r="D140">
        <v>1</v>
      </c>
      <c r="E140">
        <v>7580</v>
      </c>
      <c r="F140" t="b">
        <v>1</v>
      </c>
    </row>
    <row r="141" spans="1:6" x14ac:dyDescent="0.25">
      <c r="A141">
        <v>14</v>
      </c>
      <c r="B141">
        <v>2</v>
      </c>
      <c r="C141" t="s">
        <v>1</v>
      </c>
      <c r="D141">
        <v>2</v>
      </c>
      <c r="E141">
        <v>6759</v>
      </c>
      <c r="F141" t="b">
        <v>1</v>
      </c>
    </row>
    <row r="142" spans="1:6" x14ac:dyDescent="0.25">
      <c r="A142">
        <v>15</v>
      </c>
      <c r="B142">
        <v>2</v>
      </c>
      <c r="C142" t="s">
        <v>2</v>
      </c>
      <c r="D142">
        <v>0</v>
      </c>
      <c r="E142">
        <v>4695</v>
      </c>
      <c r="F142" t="b">
        <v>0</v>
      </c>
    </row>
    <row r="143" spans="1:6" x14ac:dyDescent="0.25">
      <c r="A143">
        <v>16</v>
      </c>
      <c r="B143">
        <v>2</v>
      </c>
      <c r="C143" t="s">
        <v>2</v>
      </c>
      <c r="D143">
        <v>1</v>
      </c>
      <c r="E143">
        <v>4740</v>
      </c>
      <c r="F143" t="b">
        <v>1</v>
      </c>
    </row>
    <row r="144" spans="1:6" x14ac:dyDescent="0.25">
      <c r="A144">
        <v>17</v>
      </c>
      <c r="B144">
        <v>2</v>
      </c>
      <c r="C144" t="s">
        <v>2</v>
      </c>
      <c r="D144">
        <v>2</v>
      </c>
      <c r="E144">
        <v>8998</v>
      </c>
      <c r="F144" t="b">
        <v>1</v>
      </c>
    </row>
    <row r="145" spans="1:6" x14ac:dyDescent="0.25">
      <c r="A145">
        <v>18</v>
      </c>
      <c r="B145">
        <v>2</v>
      </c>
      <c r="C145" t="s">
        <v>0</v>
      </c>
      <c r="D145">
        <v>0</v>
      </c>
      <c r="E145" s="1">
        <v>38713</v>
      </c>
      <c r="F145" t="b">
        <v>1</v>
      </c>
    </row>
    <row r="146" spans="1:6" x14ac:dyDescent="0.25">
      <c r="A146">
        <v>19</v>
      </c>
      <c r="B146">
        <v>2</v>
      </c>
      <c r="C146" t="s">
        <v>0</v>
      </c>
      <c r="D146">
        <v>1</v>
      </c>
      <c r="E146">
        <v>11904</v>
      </c>
      <c r="F146" t="b">
        <v>1</v>
      </c>
    </row>
    <row r="147" spans="1:6" x14ac:dyDescent="0.25">
      <c r="A147">
        <v>20</v>
      </c>
      <c r="B147">
        <v>2</v>
      </c>
      <c r="C147" t="s">
        <v>0</v>
      </c>
      <c r="D147">
        <v>2</v>
      </c>
      <c r="E147" s="1">
        <v>33728</v>
      </c>
      <c r="F147" t="b">
        <v>1</v>
      </c>
    </row>
    <row r="148" spans="1:6" x14ac:dyDescent="0.25">
      <c r="A148">
        <v>21</v>
      </c>
      <c r="B148">
        <v>2</v>
      </c>
      <c r="C148" t="s">
        <v>1</v>
      </c>
      <c r="D148">
        <v>0</v>
      </c>
      <c r="E148">
        <v>6033</v>
      </c>
      <c r="F148" t="b">
        <v>1</v>
      </c>
    </row>
    <row r="149" spans="1:6" x14ac:dyDescent="0.25">
      <c r="A149">
        <v>22</v>
      </c>
      <c r="B149">
        <v>2</v>
      </c>
      <c r="C149" t="s">
        <v>1</v>
      </c>
      <c r="D149">
        <v>1</v>
      </c>
      <c r="E149">
        <v>24776</v>
      </c>
      <c r="F149" t="b">
        <v>1</v>
      </c>
    </row>
    <row r="150" spans="1:6" x14ac:dyDescent="0.25">
      <c r="A150">
        <v>23</v>
      </c>
      <c r="B150">
        <v>2</v>
      </c>
      <c r="C150" t="s">
        <v>1</v>
      </c>
      <c r="D150">
        <v>2</v>
      </c>
      <c r="E150">
        <v>22840</v>
      </c>
      <c r="F150" t="b">
        <v>1</v>
      </c>
    </row>
    <row r="151" spans="1:6" x14ac:dyDescent="0.25">
      <c r="A151">
        <v>24</v>
      </c>
      <c r="B151">
        <v>2</v>
      </c>
      <c r="C151" t="s">
        <v>2</v>
      </c>
      <c r="D151">
        <v>0</v>
      </c>
      <c r="E151">
        <v>2550</v>
      </c>
      <c r="F151" t="b">
        <v>1</v>
      </c>
    </row>
    <row r="152" spans="1:6" x14ac:dyDescent="0.25">
      <c r="A152">
        <v>25</v>
      </c>
      <c r="B152">
        <v>2</v>
      </c>
      <c r="C152" t="s">
        <v>2</v>
      </c>
      <c r="D152">
        <v>1</v>
      </c>
      <c r="E152">
        <v>13888</v>
      </c>
      <c r="F152" t="b">
        <v>1</v>
      </c>
    </row>
    <row r="153" spans="1:6" x14ac:dyDescent="0.25">
      <c r="A153">
        <v>26</v>
      </c>
      <c r="B153">
        <v>2</v>
      </c>
      <c r="C153" t="s">
        <v>2</v>
      </c>
      <c r="D153">
        <v>2</v>
      </c>
      <c r="E153">
        <v>5024</v>
      </c>
      <c r="F153" t="b">
        <v>1</v>
      </c>
    </row>
    <row r="154" spans="1:6" x14ac:dyDescent="0.25">
      <c r="A154">
        <v>0</v>
      </c>
      <c r="B154">
        <v>2</v>
      </c>
      <c r="C154" t="s">
        <v>0</v>
      </c>
      <c r="D154">
        <v>0</v>
      </c>
      <c r="E154">
        <v>11308</v>
      </c>
      <c r="F154" t="b">
        <v>1</v>
      </c>
    </row>
    <row r="155" spans="1:6" x14ac:dyDescent="0.25">
      <c r="A155">
        <v>1</v>
      </c>
      <c r="B155">
        <v>2</v>
      </c>
      <c r="C155" t="s">
        <v>0</v>
      </c>
      <c r="D155">
        <v>0</v>
      </c>
      <c r="E155" s="1">
        <v>51913</v>
      </c>
      <c r="F155" t="b">
        <v>1</v>
      </c>
    </row>
    <row r="156" spans="1:6" x14ac:dyDescent="0.25">
      <c r="A156">
        <v>2</v>
      </c>
      <c r="B156">
        <v>2</v>
      </c>
      <c r="C156" t="s">
        <v>0</v>
      </c>
      <c r="D156">
        <v>1</v>
      </c>
      <c r="E156">
        <v>21057</v>
      </c>
      <c r="F156" t="b">
        <v>1</v>
      </c>
    </row>
    <row r="157" spans="1:6" x14ac:dyDescent="0.25">
      <c r="A157">
        <v>3</v>
      </c>
      <c r="B157">
        <v>2</v>
      </c>
      <c r="C157" t="s">
        <v>0</v>
      </c>
      <c r="D157">
        <v>1</v>
      </c>
      <c r="E157">
        <v>20249</v>
      </c>
      <c r="F157" t="b">
        <v>1</v>
      </c>
    </row>
    <row r="158" spans="1:6" x14ac:dyDescent="0.25">
      <c r="A158">
        <v>4</v>
      </c>
      <c r="B158">
        <v>2</v>
      </c>
      <c r="C158" t="s">
        <v>0</v>
      </c>
      <c r="D158">
        <v>2</v>
      </c>
      <c r="E158">
        <v>8625</v>
      </c>
      <c r="F158" t="b">
        <v>1</v>
      </c>
    </row>
    <row r="159" spans="1:6" x14ac:dyDescent="0.25">
      <c r="A159">
        <v>5</v>
      </c>
      <c r="B159">
        <v>2</v>
      </c>
      <c r="C159" t="s">
        <v>0</v>
      </c>
      <c r="D159">
        <v>2</v>
      </c>
      <c r="E159">
        <v>13327</v>
      </c>
      <c r="F159" t="b">
        <v>1</v>
      </c>
    </row>
    <row r="160" spans="1:6" x14ac:dyDescent="0.25">
      <c r="A160">
        <v>6</v>
      </c>
      <c r="B160">
        <v>2</v>
      </c>
      <c r="C160" t="s">
        <v>1</v>
      </c>
      <c r="D160">
        <v>0</v>
      </c>
      <c r="E160">
        <v>4698</v>
      </c>
      <c r="F160" t="b">
        <v>0</v>
      </c>
    </row>
    <row r="161" spans="1:6" x14ac:dyDescent="0.25">
      <c r="A161">
        <v>7</v>
      </c>
      <c r="B161">
        <v>2</v>
      </c>
      <c r="C161" t="s">
        <v>1</v>
      </c>
      <c r="D161">
        <v>0</v>
      </c>
      <c r="E161">
        <v>17250</v>
      </c>
      <c r="F161" t="b">
        <v>1</v>
      </c>
    </row>
    <row r="162" spans="1:6" x14ac:dyDescent="0.25">
      <c r="A162">
        <v>8</v>
      </c>
      <c r="B162">
        <v>2</v>
      </c>
      <c r="C162" t="s">
        <v>1</v>
      </c>
      <c r="D162">
        <v>1</v>
      </c>
      <c r="E162">
        <v>20047</v>
      </c>
      <c r="F162" t="b">
        <v>1</v>
      </c>
    </row>
    <row r="163" spans="1:6" x14ac:dyDescent="0.25">
      <c r="A163">
        <v>9</v>
      </c>
      <c r="B163">
        <v>2</v>
      </c>
      <c r="C163" t="s">
        <v>1</v>
      </c>
      <c r="D163">
        <v>1</v>
      </c>
      <c r="E163">
        <v>4028</v>
      </c>
      <c r="F163" t="b">
        <v>1</v>
      </c>
    </row>
    <row r="164" spans="1:6" x14ac:dyDescent="0.25">
      <c r="A164">
        <v>10</v>
      </c>
      <c r="B164">
        <v>2</v>
      </c>
      <c r="C164" t="s">
        <v>1</v>
      </c>
      <c r="D164">
        <v>2</v>
      </c>
      <c r="E164">
        <v>21544</v>
      </c>
      <c r="F164" t="b">
        <v>1</v>
      </c>
    </row>
    <row r="165" spans="1:6" x14ac:dyDescent="0.25">
      <c r="A165">
        <v>11</v>
      </c>
      <c r="B165">
        <v>2</v>
      </c>
      <c r="C165" t="s">
        <v>1</v>
      </c>
      <c r="D165">
        <v>2</v>
      </c>
      <c r="E165">
        <v>12859</v>
      </c>
      <c r="F165" t="b">
        <v>1</v>
      </c>
    </row>
    <row r="166" spans="1:6" x14ac:dyDescent="0.25">
      <c r="A166">
        <v>12</v>
      </c>
      <c r="B166">
        <v>2</v>
      </c>
      <c r="C166" t="s">
        <v>2</v>
      </c>
      <c r="D166">
        <v>0</v>
      </c>
      <c r="E166">
        <v>8559</v>
      </c>
      <c r="F166" t="b">
        <v>0</v>
      </c>
    </row>
    <row r="167" spans="1:6" x14ac:dyDescent="0.25">
      <c r="A167">
        <v>13</v>
      </c>
      <c r="B167">
        <v>2</v>
      </c>
      <c r="C167" t="s">
        <v>2</v>
      </c>
      <c r="D167">
        <v>0</v>
      </c>
      <c r="E167">
        <v>5568</v>
      </c>
      <c r="F167" t="b">
        <v>0</v>
      </c>
    </row>
    <row r="168" spans="1:6" x14ac:dyDescent="0.25">
      <c r="A168">
        <v>14</v>
      </c>
      <c r="B168">
        <v>2</v>
      </c>
      <c r="C168" t="s">
        <v>2</v>
      </c>
      <c r="D168">
        <v>1</v>
      </c>
      <c r="E168">
        <v>5248</v>
      </c>
      <c r="F168" t="b">
        <v>0</v>
      </c>
    </row>
    <row r="169" spans="1:6" x14ac:dyDescent="0.25">
      <c r="A169">
        <v>15</v>
      </c>
      <c r="B169">
        <v>2</v>
      </c>
      <c r="C169" t="s">
        <v>2</v>
      </c>
      <c r="D169">
        <v>1</v>
      </c>
      <c r="E169">
        <v>4404</v>
      </c>
      <c r="F169" t="b">
        <v>1</v>
      </c>
    </row>
    <row r="170" spans="1:6" x14ac:dyDescent="0.25">
      <c r="A170">
        <v>16</v>
      </c>
      <c r="B170">
        <v>2</v>
      </c>
      <c r="C170" t="s">
        <v>2</v>
      </c>
      <c r="D170">
        <v>2</v>
      </c>
      <c r="E170">
        <v>11308</v>
      </c>
      <c r="F170" t="b">
        <v>1</v>
      </c>
    </row>
    <row r="171" spans="1:6" x14ac:dyDescent="0.25">
      <c r="A171">
        <v>17</v>
      </c>
      <c r="B171">
        <v>2</v>
      </c>
      <c r="C171" t="s">
        <v>2</v>
      </c>
      <c r="D171">
        <v>2</v>
      </c>
      <c r="E171">
        <v>6081</v>
      </c>
      <c r="F171" t="b">
        <v>1</v>
      </c>
    </row>
    <row r="172" spans="1:6" x14ac:dyDescent="0.25">
      <c r="A172">
        <v>54</v>
      </c>
      <c r="B172">
        <v>2</v>
      </c>
      <c r="C172" t="s">
        <v>0</v>
      </c>
      <c r="D172">
        <v>0</v>
      </c>
      <c r="E172">
        <v>14179</v>
      </c>
      <c r="F172" t="b">
        <v>1</v>
      </c>
    </row>
    <row r="173" spans="1:6" x14ac:dyDescent="0.25">
      <c r="A173">
        <v>55</v>
      </c>
      <c r="B173">
        <v>2</v>
      </c>
      <c r="C173" t="s">
        <v>0</v>
      </c>
      <c r="D173">
        <v>0</v>
      </c>
      <c r="E173">
        <v>28371</v>
      </c>
      <c r="F173" t="b">
        <v>0</v>
      </c>
    </row>
    <row r="174" spans="1:6" x14ac:dyDescent="0.25">
      <c r="A174">
        <v>56</v>
      </c>
      <c r="B174">
        <v>2</v>
      </c>
      <c r="C174" t="s">
        <v>0</v>
      </c>
      <c r="D174">
        <v>1</v>
      </c>
      <c r="E174" s="1">
        <v>29699</v>
      </c>
      <c r="F174" t="b">
        <v>1</v>
      </c>
    </row>
    <row r="175" spans="1:6" x14ac:dyDescent="0.25">
      <c r="A175">
        <v>57</v>
      </c>
      <c r="B175">
        <v>2</v>
      </c>
      <c r="C175" t="s">
        <v>0</v>
      </c>
      <c r="D175">
        <v>1</v>
      </c>
      <c r="E175">
        <v>21261</v>
      </c>
      <c r="F175" t="b">
        <v>1</v>
      </c>
    </row>
    <row r="176" spans="1:6" x14ac:dyDescent="0.25">
      <c r="A176">
        <v>58</v>
      </c>
      <c r="B176">
        <v>2</v>
      </c>
      <c r="C176" t="s">
        <v>0</v>
      </c>
      <c r="D176">
        <v>2</v>
      </c>
      <c r="E176">
        <v>19946</v>
      </c>
      <c r="F176" t="b">
        <v>1</v>
      </c>
    </row>
    <row r="177" spans="1:6" x14ac:dyDescent="0.25">
      <c r="A177">
        <v>59</v>
      </c>
      <c r="B177">
        <v>2</v>
      </c>
      <c r="C177" t="s">
        <v>0</v>
      </c>
      <c r="D177">
        <v>2</v>
      </c>
      <c r="E177">
        <v>27413</v>
      </c>
      <c r="F177" t="b">
        <v>1</v>
      </c>
    </row>
    <row r="178" spans="1:6" x14ac:dyDescent="0.25">
      <c r="A178">
        <v>60</v>
      </c>
      <c r="B178">
        <v>2</v>
      </c>
      <c r="C178" t="s">
        <v>1</v>
      </c>
      <c r="D178">
        <v>0</v>
      </c>
      <c r="E178">
        <v>13682</v>
      </c>
      <c r="F178" t="b">
        <v>1</v>
      </c>
    </row>
    <row r="179" spans="1:6" x14ac:dyDescent="0.25">
      <c r="A179">
        <v>61</v>
      </c>
      <c r="B179">
        <v>2</v>
      </c>
      <c r="C179" t="s">
        <v>1</v>
      </c>
      <c r="D179">
        <v>0</v>
      </c>
      <c r="E179">
        <v>7182</v>
      </c>
      <c r="F179" t="b">
        <v>1</v>
      </c>
    </row>
    <row r="180" spans="1:6" x14ac:dyDescent="0.25">
      <c r="A180">
        <v>62</v>
      </c>
      <c r="B180">
        <v>2</v>
      </c>
      <c r="C180" t="s">
        <v>1</v>
      </c>
      <c r="D180">
        <v>1</v>
      </c>
      <c r="E180">
        <v>12493</v>
      </c>
      <c r="F180" t="b">
        <v>1</v>
      </c>
    </row>
    <row r="181" spans="1:6" x14ac:dyDescent="0.25">
      <c r="A181">
        <v>63</v>
      </c>
      <c r="B181">
        <v>2</v>
      </c>
      <c r="C181" t="s">
        <v>1</v>
      </c>
      <c r="D181">
        <v>1</v>
      </c>
      <c r="E181">
        <v>15728</v>
      </c>
      <c r="F181" t="b">
        <v>1</v>
      </c>
    </row>
    <row r="182" spans="1:6" x14ac:dyDescent="0.25">
      <c r="A182">
        <v>64</v>
      </c>
      <c r="B182">
        <v>2</v>
      </c>
      <c r="C182" t="s">
        <v>1</v>
      </c>
      <c r="D182">
        <v>2</v>
      </c>
      <c r="E182">
        <v>18531</v>
      </c>
      <c r="F182" t="b">
        <v>1</v>
      </c>
    </row>
    <row r="183" spans="1:6" x14ac:dyDescent="0.25">
      <c r="A183">
        <v>65</v>
      </c>
      <c r="B183">
        <v>2</v>
      </c>
      <c r="C183" t="s">
        <v>1</v>
      </c>
      <c r="D183">
        <v>2</v>
      </c>
      <c r="E183">
        <v>21481</v>
      </c>
      <c r="F183" t="b">
        <v>1</v>
      </c>
    </row>
    <row r="184" spans="1:6" x14ac:dyDescent="0.25">
      <c r="A184">
        <v>66</v>
      </c>
      <c r="B184">
        <v>2</v>
      </c>
      <c r="C184" t="s">
        <v>2</v>
      </c>
      <c r="D184">
        <v>0</v>
      </c>
      <c r="E184">
        <v>10617</v>
      </c>
      <c r="F184" t="b">
        <v>1</v>
      </c>
    </row>
    <row r="185" spans="1:6" x14ac:dyDescent="0.25">
      <c r="A185">
        <v>67</v>
      </c>
      <c r="B185">
        <v>2</v>
      </c>
      <c r="C185" t="s">
        <v>2</v>
      </c>
      <c r="D185">
        <v>0</v>
      </c>
      <c r="E185">
        <v>17461</v>
      </c>
      <c r="F185" t="b">
        <v>1</v>
      </c>
    </row>
    <row r="186" spans="1:6" x14ac:dyDescent="0.25">
      <c r="A186">
        <v>68</v>
      </c>
      <c r="B186">
        <v>2</v>
      </c>
      <c r="C186" t="s">
        <v>2</v>
      </c>
      <c r="D186">
        <v>1</v>
      </c>
      <c r="E186">
        <v>6048</v>
      </c>
      <c r="F186" t="b">
        <v>1</v>
      </c>
    </row>
    <row r="187" spans="1:6" x14ac:dyDescent="0.25">
      <c r="A187">
        <v>69</v>
      </c>
      <c r="B187">
        <v>2</v>
      </c>
      <c r="C187" t="s">
        <v>2</v>
      </c>
      <c r="D187">
        <v>1</v>
      </c>
      <c r="E187">
        <v>8629</v>
      </c>
      <c r="F187" t="b">
        <v>0</v>
      </c>
    </row>
    <row r="188" spans="1:6" x14ac:dyDescent="0.25">
      <c r="A188">
        <v>70</v>
      </c>
      <c r="B188">
        <v>2</v>
      </c>
      <c r="C188" t="s">
        <v>2</v>
      </c>
      <c r="D188">
        <v>2</v>
      </c>
      <c r="E188">
        <v>11416</v>
      </c>
      <c r="F188" t="b">
        <v>0</v>
      </c>
    </row>
    <row r="189" spans="1:6" x14ac:dyDescent="0.25">
      <c r="A189">
        <v>71</v>
      </c>
      <c r="B189">
        <v>2</v>
      </c>
      <c r="C189" t="s">
        <v>2</v>
      </c>
      <c r="D189">
        <v>2</v>
      </c>
      <c r="E189">
        <v>7458</v>
      </c>
      <c r="F189" t="b">
        <v>1</v>
      </c>
    </row>
    <row r="190" spans="1:6" x14ac:dyDescent="0.25">
      <c r="A190">
        <v>27</v>
      </c>
      <c r="B190">
        <v>3</v>
      </c>
      <c r="C190" t="s">
        <v>0</v>
      </c>
      <c r="D190">
        <v>0</v>
      </c>
      <c r="E190">
        <v>17908</v>
      </c>
      <c r="F190" t="b">
        <v>1</v>
      </c>
    </row>
    <row r="191" spans="1:6" x14ac:dyDescent="0.25">
      <c r="A191">
        <v>28</v>
      </c>
      <c r="B191">
        <v>3</v>
      </c>
      <c r="C191" t="s">
        <v>0</v>
      </c>
      <c r="D191">
        <v>1</v>
      </c>
      <c r="E191">
        <v>14920</v>
      </c>
      <c r="F191" t="b">
        <v>1</v>
      </c>
    </row>
    <row r="192" spans="1:6" x14ac:dyDescent="0.25">
      <c r="A192">
        <v>29</v>
      </c>
      <c r="B192">
        <v>3</v>
      </c>
      <c r="C192" t="s">
        <v>0</v>
      </c>
      <c r="D192">
        <v>2</v>
      </c>
      <c r="E192">
        <v>19171</v>
      </c>
      <c r="F192" t="b">
        <v>1</v>
      </c>
    </row>
    <row r="193" spans="1:6" x14ac:dyDescent="0.25">
      <c r="A193">
        <v>30</v>
      </c>
      <c r="B193">
        <v>3</v>
      </c>
      <c r="C193" t="s">
        <v>1</v>
      </c>
      <c r="D193">
        <v>0</v>
      </c>
      <c r="E193">
        <v>8060</v>
      </c>
      <c r="F193" t="b">
        <v>1</v>
      </c>
    </row>
    <row r="194" spans="1:6" x14ac:dyDescent="0.25">
      <c r="A194">
        <v>31</v>
      </c>
      <c r="B194">
        <v>3</v>
      </c>
      <c r="C194" t="s">
        <v>1</v>
      </c>
      <c r="D194">
        <v>1</v>
      </c>
      <c r="E194">
        <v>10363</v>
      </c>
      <c r="F194" t="b">
        <v>1</v>
      </c>
    </row>
    <row r="195" spans="1:6" x14ac:dyDescent="0.25">
      <c r="A195">
        <v>32</v>
      </c>
      <c r="B195">
        <v>3</v>
      </c>
      <c r="C195" t="s">
        <v>1</v>
      </c>
      <c r="D195">
        <v>2</v>
      </c>
      <c r="E195">
        <v>9048</v>
      </c>
      <c r="F195" t="b">
        <v>1</v>
      </c>
    </row>
    <row r="196" spans="1:6" x14ac:dyDescent="0.25">
      <c r="A196">
        <v>33</v>
      </c>
      <c r="B196">
        <v>3</v>
      </c>
      <c r="C196" t="s">
        <v>2</v>
      </c>
      <c r="D196">
        <v>0</v>
      </c>
      <c r="E196">
        <v>4713</v>
      </c>
      <c r="F196" t="b">
        <v>1</v>
      </c>
    </row>
    <row r="197" spans="1:6" x14ac:dyDescent="0.25">
      <c r="A197">
        <v>34</v>
      </c>
      <c r="B197">
        <v>3</v>
      </c>
      <c r="C197" t="s">
        <v>2</v>
      </c>
      <c r="D197">
        <v>1</v>
      </c>
      <c r="E197">
        <v>9344</v>
      </c>
      <c r="F197" t="b">
        <v>1</v>
      </c>
    </row>
    <row r="198" spans="1:6" x14ac:dyDescent="0.25">
      <c r="A198">
        <v>35</v>
      </c>
      <c r="B198">
        <v>3</v>
      </c>
      <c r="C198" t="s">
        <v>2</v>
      </c>
      <c r="D198">
        <v>2</v>
      </c>
      <c r="E198">
        <v>5593</v>
      </c>
      <c r="F198" t="b">
        <v>1</v>
      </c>
    </row>
    <row r="199" spans="1:6" x14ac:dyDescent="0.25">
      <c r="A199">
        <v>27</v>
      </c>
      <c r="B199">
        <v>3</v>
      </c>
      <c r="C199" t="s">
        <v>0</v>
      </c>
      <c r="D199">
        <v>0</v>
      </c>
      <c r="E199">
        <v>14416</v>
      </c>
      <c r="F199" t="b">
        <v>1</v>
      </c>
    </row>
    <row r="200" spans="1:6" x14ac:dyDescent="0.25">
      <c r="A200">
        <v>28</v>
      </c>
      <c r="B200">
        <v>3</v>
      </c>
      <c r="C200" t="s">
        <v>0</v>
      </c>
      <c r="D200">
        <v>1</v>
      </c>
      <c r="E200" s="1">
        <v>44784</v>
      </c>
      <c r="F200" t="b">
        <v>1</v>
      </c>
    </row>
    <row r="201" spans="1:6" x14ac:dyDescent="0.25">
      <c r="A201">
        <v>29</v>
      </c>
      <c r="B201">
        <v>3</v>
      </c>
      <c r="C201" t="s">
        <v>0</v>
      </c>
      <c r="D201">
        <v>2</v>
      </c>
      <c r="E201">
        <v>9970</v>
      </c>
      <c r="F201" t="b">
        <v>1</v>
      </c>
    </row>
    <row r="202" spans="1:6" x14ac:dyDescent="0.25">
      <c r="A202">
        <v>30</v>
      </c>
      <c r="B202">
        <v>3</v>
      </c>
      <c r="C202" t="s">
        <v>1</v>
      </c>
      <c r="D202">
        <v>0</v>
      </c>
      <c r="E202">
        <v>9016</v>
      </c>
      <c r="F202" t="b">
        <v>1</v>
      </c>
    </row>
    <row r="203" spans="1:6" x14ac:dyDescent="0.25">
      <c r="A203">
        <v>31</v>
      </c>
      <c r="B203">
        <v>3</v>
      </c>
      <c r="C203" t="s">
        <v>1</v>
      </c>
      <c r="D203">
        <v>1</v>
      </c>
      <c r="E203">
        <v>6448</v>
      </c>
      <c r="F203" t="b">
        <v>1</v>
      </c>
    </row>
    <row r="204" spans="1:6" x14ac:dyDescent="0.25">
      <c r="A204">
        <v>32</v>
      </c>
      <c r="B204">
        <v>3</v>
      </c>
      <c r="C204" t="s">
        <v>1</v>
      </c>
      <c r="D204">
        <v>2</v>
      </c>
      <c r="E204">
        <v>2976</v>
      </c>
      <c r="F204" t="b">
        <v>1</v>
      </c>
    </row>
    <row r="205" spans="1:6" x14ac:dyDescent="0.25">
      <c r="A205">
        <v>33</v>
      </c>
      <c r="B205">
        <v>3</v>
      </c>
      <c r="C205" t="s">
        <v>2</v>
      </c>
      <c r="D205">
        <v>0</v>
      </c>
      <c r="E205">
        <v>3816</v>
      </c>
      <c r="F205" t="b">
        <v>1</v>
      </c>
    </row>
    <row r="206" spans="1:6" x14ac:dyDescent="0.25">
      <c r="A206">
        <v>34</v>
      </c>
      <c r="B206">
        <v>3</v>
      </c>
      <c r="C206" t="s">
        <v>2</v>
      </c>
      <c r="D206">
        <v>1</v>
      </c>
      <c r="E206">
        <v>6752</v>
      </c>
      <c r="F206" t="b">
        <v>1</v>
      </c>
    </row>
    <row r="207" spans="1:6" x14ac:dyDescent="0.25">
      <c r="A207">
        <v>35</v>
      </c>
      <c r="B207">
        <v>3</v>
      </c>
      <c r="C207" t="s">
        <v>2</v>
      </c>
      <c r="D207">
        <v>2</v>
      </c>
      <c r="E207">
        <v>5408</v>
      </c>
      <c r="F207" t="b">
        <v>1</v>
      </c>
    </row>
    <row r="208" spans="1:6" x14ac:dyDescent="0.25">
      <c r="A208">
        <v>0</v>
      </c>
      <c r="B208">
        <v>3</v>
      </c>
      <c r="C208" t="s">
        <v>0</v>
      </c>
      <c r="D208">
        <v>0</v>
      </c>
      <c r="E208">
        <v>18544</v>
      </c>
      <c r="F208" t="b">
        <v>1</v>
      </c>
    </row>
    <row r="209" spans="1:6" x14ac:dyDescent="0.25">
      <c r="A209">
        <v>1</v>
      </c>
      <c r="B209">
        <v>3</v>
      </c>
      <c r="C209" t="s">
        <v>0</v>
      </c>
      <c r="D209">
        <v>1</v>
      </c>
      <c r="E209">
        <v>17936</v>
      </c>
      <c r="F209" t="b">
        <v>1</v>
      </c>
    </row>
    <row r="210" spans="1:6" x14ac:dyDescent="0.25">
      <c r="A210">
        <v>2</v>
      </c>
      <c r="B210">
        <v>3</v>
      </c>
      <c r="C210" t="s">
        <v>0</v>
      </c>
      <c r="D210">
        <v>2</v>
      </c>
      <c r="E210" s="1">
        <v>45505</v>
      </c>
      <c r="F210" t="b">
        <v>1</v>
      </c>
    </row>
    <row r="211" spans="1:6" x14ac:dyDescent="0.25">
      <c r="A211">
        <v>3</v>
      </c>
      <c r="B211">
        <v>3</v>
      </c>
      <c r="C211" t="s">
        <v>1</v>
      </c>
      <c r="D211">
        <v>0</v>
      </c>
      <c r="E211" s="1">
        <v>40932</v>
      </c>
      <c r="F211" t="b">
        <v>1</v>
      </c>
    </row>
    <row r="212" spans="1:6" x14ac:dyDescent="0.25">
      <c r="A212">
        <v>4</v>
      </c>
      <c r="B212">
        <v>3</v>
      </c>
      <c r="C212" t="s">
        <v>1</v>
      </c>
      <c r="D212">
        <v>1</v>
      </c>
      <c r="E212">
        <v>9656</v>
      </c>
      <c r="F212" t="b">
        <v>1</v>
      </c>
    </row>
    <row r="213" spans="1:6" x14ac:dyDescent="0.25">
      <c r="A213">
        <v>5</v>
      </c>
      <c r="B213">
        <v>3</v>
      </c>
      <c r="C213" t="s">
        <v>1</v>
      </c>
      <c r="D213">
        <v>2</v>
      </c>
      <c r="E213">
        <v>7345</v>
      </c>
      <c r="F213" t="b">
        <v>1</v>
      </c>
    </row>
    <row r="214" spans="1:6" x14ac:dyDescent="0.25">
      <c r="A214">
        <v>6</v>
      </c>
      <c r="B214">
        <v>3</v>
      </c>
      <c r="C214" t="s">
        <v>2</v>
      </c>
      <c r="D214">
        <v>0</v>
      </c>
      <c r="E214">
        <v>6823</v>
      </c>
      <c r="F214" t="b">
        <v>1</v>
      </c>
    </row>
    <row r="215" spans="1:6" x14ac:dyDescent="0.25">
      <c r="A215">
        <v>7</v>
      </c>
      <c r="B215">
        <v>3</v>
      </c>
      <c r="C215" t="s">
        <v>2</v>
      </c>
      <c r="D215">
        <v>1</v>
      </c>
      <c r="E215">
        <v>21416</v>
      </c>
      <c r="F215" t="b">
        <v>1</v>
      </c>
    </row>
    <row r="216" spans="1:6" x14ac:dyDescent="0.25">
      <c r="A216">
        <v>8</v>
      </c>
      <c r="B216">
        <v>3</v>
      </c>
      <c r="C216" t="s">
        <v>2</v>
      </c>
      <c r="D216">
        <v>2</v>
      </c>
      <c r="E216">
        <v>11023</v>
      </c>
      <c r="F216" t="b">
        <v>1</v>
      </c>
    </row>
    <row r="217" spans="1:6" x14ac:dyDescent="0.25">
      <c r="A217">
        <v>18</v>
      </c>
      <c r="B217">
        <v>3</v>
      </c>
      <c r="C217" t="s">
        <v>0</v>
      </c>
      <c r="D217">
        <v>0</v>
      </c>
      <c r="E217" s="1">
        <v>51959</v>
      </c>
      <c r="F217" t="b">
        <v>1</v>
      </c>
    </row>
    <row r="218" spans="1:6" x14ac:dyDescent="0.25">
      <c r="A218">
        <v>19</v>
      </c>
      <c r="B218">
        <v>3</v>
      </c>
      <c r="C218" t="s">
        <v>0</v>
      </c>
      <c r="D218">
        <v>0</v>
      </c>
      <c r="E218">
        <v>3919</v>
      </c>
      <c r="F218" t="b">
        <v>1</v>
      </c>
    </row>
    <row r="219" spans="1:6" x14ac:dyDescent="0.25">
      <c r="A219">
        <v>20</v>
      </c>
      <c r="B219">
        <v>3</v>
      </c>
      <c r="C219" t="s">
        <v>0</v>
      </c>
      <c r="D219">
        <v>1</v>
      </c>
      <c r="E219">
        <v>11943</v>
      </c>
      <c r="F219" t="b">
        <v>1</v>
      </c>
    </row>
    <row r="220" spans="1:6" x14ac:dyDescent="0.25">
      <c r="A220">
        <v>21</v>
      </c>
      <c r="B220">
        <v>3</v>
      </c>
      <c r="C220" t="s">
        <v>0</v>
      </c>
      <c r="D220">
        <v>1</v>
      </c>
      <c r="E220">
        <v>7555</v>
      </c>
      <c r="F220" t="b">
        <v>1</v>
      </c>
    </row>
    <row r="221" spans="1:6" x14ac:dyDescent="0.25">
      <c r="A221">
        <v>22</v>
      </c>
      <c r="B221">
        <v>3</v>
      </c>
      <c r="C221" t="s">
        <v>0</v>
      </c>
      <c r="D221">
        <v>2</v>
      </c>
      <c r="E221">
        <v>12926</v>
      </c>
      <c r="F221" t="b">
        <v>1</v>
      </c>
    </row>
    <row r="222" spans="1:6" x14ac:dyDescent="0.25">
      <c r="A222">
        <v>23</v>
      </c>
      <c r="B222">
        <v>3</v>
      </c>
      <c r="C222" t="s">
        <v>0</v>
      </c>
      <c r="D222">
        <v>2</v>
      </c>
      <c r="E222">
        <v>7680</v>
      </c>
      <c r="F222" t="b">
        <v>1</v>
      </c>
    </row>
    <row r="223" spans="1:6" x14ac:dyDescent="0.25">
      <c r="A223">
        <v>24</v>
      </c>
      <c r="B223">
        <v>3</v>
      </c>
      <c r="C223" t="s">
        <v>1</v>
      </c>
      <c r="D223">
        <v>0</v>
      </c>
      <c r="E223">
        <v>15119</v>
      </c>
      <c r="F223" t="b">
        <v>1</v>
      </c>
    </row>
    <row r="224" spans="1:6" x14ac:dyDescent="0.25">
      <c r="A224">
        <v>25</v>
      </c>
      <c r="B224">
        <v>3</v>
      </c>
      <c r="C224" t="s">
        <v>1</v>
      </c>
      <c r="D224">
        <v>0</v>
      </c>
      <c r="E224">
        <v>5728</v>
      </c>
      <c r="F224" t="b">
        <v>1</v>
      </c>
    </row>
    <row r="225" spans="1:6" x14ac:dyDescent="0.25">
      <c r="A225">
        <v>26</v>
      </c>
      <c r="B225">
        <v>3</v>
      </c>
      <c r="C225" t="s">
        <v>1</v>
      </c>
      <c r="D225">
        <v>1</v>
      </c>
      <c r="E225">
        <v>13271</v>
      </c>
      <c r="F225" t="b">
        <v>1</v>
      </c>
    </row>
    <row r="226" spans="1:6" x14ac:dyDescent="0.25">
      <c r="A226">
        <v>27</v>
      </c>
      <c r="B226">
        <v>3</v>
      </c>
      <c r="C226" t="s">
        <v>1</v>
      </c>
      <c r="D226">
        <v>1</v>
      </c>
      <c r="E226">
        <v>14423</v>
      </c>
      <c r="F226" t="b">
        <v>1</v>
      </c>
    </row>
    <row r="227" spans="1:6" x14ac:dyDescent="0.25">
      <c r="A227">
        <v>28</v>
      </c>
      <c r="B227">
        <v>3</v>
      </c>
      <c r="C227" t="s">
        <v>1</v>
      </c>
      <c r="D227">
        <v>2</v>
      </c>
      <c r="E227">
        <v>8496</v>
      </c>
      <c r="F227" t="b">
        <v>1</v>
      </c>
    </row>
    <row r="228" spans="1:6" x14ac:dyDescent="0.25">
      <c r="A228">
        <v>29</v>
      </c>
      <c r="B228">
        <v>3</v>
      </c>
      <c r="C228" t="s">
        <v>1</v>
      </c>
      <c r="D228">
        <v>2</v>
      </c>
      <c r="E228">
        <v>16975</v>
      </c>
      <c r="F228" t="b">
        <v>1</v>
      </c>
    </row>
    <row r="229" spans="1:6" x14ac:dyDescent="0.25">
      <c r="A229">
        <v>30</v>
      </c>
      <c r="B229">
        <v>3</v>
      </c>
      <c r="C229" t="s">
        <v>2</v>
      </c>
      <c r="D229">
        <v>0</v>
      </c>
      <c r="E229">
        <v>1623</v>
      </c>
      <c r="F229" t="b">
        <v>1</v>
      </c>
    </row>
    <row r="230" spans="1:6" x14ac:dyDescent="0.25">
      <c r="A230">
        <v>31</v>
      </c>
      <c r="B230">
        <v>3</v>
      </c>
      <c r="C230" t="s">
        <v>2</v>
      </c>
      <c r="D230">
        <v>0</v>
      </c>
      <c r="E230">
        <v>10080</v>
      </c>
      <c r="F230" t="b">
        <v>1</v>
      </c>
    </row>
    <row r="231" spans="1:6" x14ac:dyDescent="0.25">
      <c r="A231">
        <v>32</v>
      </c>
      <c r="B231">
        <v>3</v>
      </c>
      <c r="C231" t="s">
        <v>2</v>
      </c>
      <c r="D231">
        <v>1</v>
      </c>
      <c r="E231">
        <v>7857</v>
      </c>
      <c r="F231" t="b">
        <v>1</v>
      </c>
    </row>
    <row r="232" spans="1:6" x14ac:dyDescent="0.25">
      <c r="A232">
        <v>33</v>
      </c>
      <c r="B232">
        <v>3</v>
      </c>
      <c r="C232" t="s">
        <v>2</v>
      </c>
      <c r="D232">
        <v>1</v>
      </c>
      <c r="E232">
        <v>11295</v>
      </c>
      <c r="F232" t="b">
        <v>1</v>
      </c>
    </row>
    <row r="233" spans="1:6" x14ac:dyDescent="0.25">
      <c r="A233">
        <v>34</v>
      </c>
      <c r="B233">
        <v>3</v>
      </c>
      <c r="C233" t="s">
        <v>2</v>
      </c>
      <c r="D233">
        <v>2</v>
      </c>
      <c r="E233">
        <v>5111</v>
      </c>
      <c r="F233" t="b">
        <v>1</v>
      </c>
    </row>
    <row r="234" spans="1:6" x14ac:dyDescent="0.25">
      <c r="A234">
        <v>35</v>
      </c>
      <c r="B234">
        <v>3</v>
      </c>
      <c r="C234" t="s">
        <v>2</v>
      </c>
      <c r="D234">
        <v>2</v>
      </c>
      <c r="E234">
        <v>3431</v>
      </c>
      <c r="F234" t="b">
        <v>1</v>
      </c>
    </row>
    <row r="235" spans="1:6" x14ac:dyDescent="0.25">
      <c r="A235">
        <v>36</v>
      </c>
      <c r="B235">
        <v>3</v>
      </c>
      <c r="C235" t="s">
        <v>0</v>
      </c>
      <c r="D235">
        <v>0</v>
      </c>
      <c r="E235">
        <v>30511</v>
      </c>
      <c r="F235" t="b">
        <v>1</v>
      </c>
    </row>
    <row r="236" spans="1:6" x14ac:dyDescent="0.25">
      <c r="A236">
        <v>37</v>
      </c>
      <c r="B236">
        <v>3</v>
      </c>
      <c r="C236" t="s">
        <v>0</v>
      </c>
      <c r="D236">
        <v>0</v>
      </c>
      <c r="E236">
        <v>14777</v>
      </c>
      <c r="F236" t="b">
        <v>1</v>
      </c>
    </row>
    <row r="237" spans="1:6" x14ac:dyDescent="0.25">
      <c r="A237">
        <v>38</v>
      </c>
      <c r="B237">
        <v>3</v>
      </c>
      <c r="C237" t="s">
        <v>0</v>
      </c>
      <c r="D237">
        <v>1</v>
      </c>
      <c r="E237">
        <v>17951</v>
      </c>
      <c r="F237" t="b">
        <v>1</v>
      </c>
    </row>
    <row r="238" spans="1:6" x14ac:dyDescent="0.25">
      <c r="A238">
        <v>39</v>
      </c>
      <c r="B238">
        <v>3</v>
      </c>
      <c r="C238" t="s">
        <v>0</v>
      </c>
      <c r="D238">
        <v>1</v>
      </c>
      <c r="E238">
        <v>11631</v>
      </c>
      <c r="F238" t="b">
        <v>1</v>
      </c>
    </row>
    <row r="239" spans="1:6" x14ac:dyDescent="0.25">
      <c r="A239">
        <v>40</v>
      </c>
      <c r="B239">
        <v>3</v>
      </c>
      <c r="C239" t="s">
        <v>0</v>
      </c>
      <c r="D239">
        <v>2</v>
      </c>
      <c r="E239">
        <v>20079</v>
      </c>
      <c r="F239" t="b">
        <v>1</v>
      </c>
    </row>
    <row r="240" spans="1:6" x14ac:dyDescent="0.25">
      <c r="A240">
        <v>41</v>
      </c>
      <c r="B240">
        <v>3</v>
      </c>
      <c r="C240" t="s">
        <v>0</v>
      </c>
      <c r="D240">
        <v>2</v>
      </c>
      <c r="E240" s="1">
        <v>30072</v>
      </c>
      <c r="F240" t="b">
        <v>1</v>
      </c>
    </row>
    <row r="241" spans="1:6" x14ac:dyDescent="0.25">
      <c r="A241">
        <v>42</v>
      </c>
      <c r="B241">
        <v>3</v>
      </c>
      <c r="C241" t="s">
        <v>1</v>
      </c>
      <c r="D241">
        <v>0</v>
      </c>
      <c r="E241">
        <v>16783</v>
      </c>
      <c r="F241" t="b">
        <v>1</v>
      </c>
    </row>
    <row r="242" spans="1:6" x14ac:dyDescent="0.25">
      <c r="A242">
        <v>43</v>
      </c>
      <c r="B242">
        <v>3</v>
      </c>
      <c r="C242" t="s">
        <v>1</v>
      </c>
      <c r="D242">
        <v>0</v>
      </c>
      <c r="E242">
        <v>11071</v>
      </c>
      <c r="F242" t="b">
        <v>1</v>
      </c>
    </row>
    <row r="243" spans="1:6" x14ac:dyDescent="0.25">
      <c r="A243">
        <v>44</v>
      </c>
      <c r="B243">
        <v>3</v>
      </c>
      <c r="C243" t="s">
        <v>1</v>
      </c>
      <c r="D243">
        <v>1</v>
      </c>
      <c r="E243">
        <v>7567</v>
      </c>
      <c r="F243" t="b">
        <v>1</v>
      </c>
    </row>
    <row r="244" spans="1:6" x14ac:dyDescent="0.25">
      <c r="A244">
        <v>45</v>
      </c>
      <c r="B244">
        <v>3</v>
      </c>
      <c r="C244" t="s">
        <v>1</v>
      </c>
      <c r="D244">
        <v>1</v>
      </c>
      <c r="E244">
        <v>19712</v>
      </c>
      <c r="F244" t="b">
        <v>1</v>
      </c>
    </row>
    <row r="245" spans="1:6" x14ac:dyDescent="0.25">
      <c r="A245">
        <v>46</v>
      </c>
      <c r="B245">
        <v>3</v>
      </c>
      <c r="C245" t="s">
        <v>1</v>
      </c>
      <c r="D245">
        <v>2</v>
      </c>
      <c r="E245">
        <v>23712</v>
      </c>
      <c r="F245" t="b">
        <v>1</v>
      </c>
    </row>
    <row r="246" spans="1:6" x14ac:dyDescent="0.25">
      <c r="A246">
        <v>47</v>
      </c>
      <c r="B246">
        <v>3</v>
      </c>
      <c r="C246" t="s">
        <v>1</v>
      </c>
      <c r="D246">
        <v>2</v>
      </c>
      <c r="E246">
        <v>7655</v>
      </c>
      <c r="F246" t="b">
        <v>1</v>
      </c>
    </row>
    <row r="247" spans="1:6" x14ac:dyDescent="0.25">
      <c r="A247">
        <v>48</v>
      </c>
      <c r="B247">
        <v>3</v>
      </c>
      <c r="C247" t="s">
        <v>2</v>
      </c>
      <c r="D247">
        <v>0</v>
      </c>
      <c r="E247">
        <v>8592</v>
      </c>
      <c r="F247" t="b">
        <v>1</v>
      </c>
    </row>
    <row r="248" spans="1:6" x14ac:dyDescent="0.25">
      <c r="A248">
        <v>49</v>
      </c>
      <c r="B248">
        <v>3</v>
      </c>
      <c r="C248" t="s">
        <v>2</v>
      </c>
      <c r="D248">
        <v>0</v>
      </c>
      <c r="E248">
        <v>18120</v>
      </c>
      <c r="F248" t="b">
        <v>1</v>
      </c>
    </row>
    <row r="249" spans="1:6" x14ac:dyDescent="0.25">
      <c r="A249">
        <v>50</v>
      </c>
      <c r="B249">
        <v>3</v>
      </c>
      <c r="C249" t="s">
        <v>2</v>
      </c>
      <c r="D249">
        <v>1</v>
      </c>
      <c r="E249" s="1">
        <v>29319</v>
      </c>
      <c r="F249" t="b">
        <v>1</v>
      </c>
    </row>
    <row r="250" spans="1:6" x14ac:dyDescent="0.25">
      <c r="A250">
        <v>51</v>
      </c>
      <c r="B250">
        <v>3</v>
      </c>
      <c r="C250" t="s">
        <v>2</v>
      </c>
      <c r="D250">
        <v>1</v>
      </c>
      <c r="E250">
        <v>14985</v>
      </c>
      <c r="F250" t="b">
        <v>1</v>
      </c>
    </row>
    <row r="251" spans="1:6" x14ac:dyDescent="0.25">
      <c r="A251">
        <v>52</v>
      </c>
      <c r="B251">
        <v>3</v>
      </c>
      <c r="C251" t="s">
        <v>2</v>
      </c>
      <c r="D251">
        <v>2</v>
      </c>
      <c r="E251">
        <v>8431</v>
      </c>
      <c r="F251" t="b">
        <v>1</v>
      </c>
    </row>
    <row r="252" spans="1:6" x14ac:dyDescent="0.25">
      <c r="A252">
        <v>53</v>
      </c>
      <c r="B252">
        <v>3</v>
      </c>
      <c r="C252" t="s">
        <v>2</v>
      </c>
      <c r="D252">
        <v>2</v>
      </c>
      <c r="E252">
        <v>12511</v>
      </c>
      <c r="F252" t="b">
        <v>1</v>
      </c>
    </row>
  </sheetData>
  <sortState ref="A1:F252">
    <sortCondition ref="B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paymahn</dc:creator>
  <cp:lastModifiedBy>paymahn</cp:lastModifiedBy>
  <dcterms:created xsi:type="dcterms:W3CDTF">2012-07-26T22:34:01Z</dcterms:created>
  <dcterms:modified xsi:type="dcterms:W3CDTF">2012-07-27T22:46:45Z</dcterms:modified>
</cp:coreProperties>
</file>